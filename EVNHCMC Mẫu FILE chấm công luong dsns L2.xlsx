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8800" windowHeight="11760" activeTab="1"/>
  </bookViews>
  <sheets>
    <sheet name="CHẤM CÔNG" sheetId="4" r:id="rId1"/>
    <sheet name="LƯƠNG" sheetId="5" r:id="rId2"/>
    <sheet name="DSNS" sheetId="6" r:id="rId3"/>
    <sheet name="Sheet1" sheetId="2" state="hidden" r:id="rId4"/>
    <sheet name="01.2025 can tru T12.2024" sheetId="3" state="hidden" r:id="rId5"/>
  </sheets>
  <definedNames>
    <definedName name="_xlnm._FilterDatabase" localSheetId="4" hidden="1">'01.2025 can tru T12.2024'!$A$8:$BK$35</definedName>
  </definedNames>
  <calcPr calcId="162913"/>
  <extLst>
    <ext uri="GoogleSheetsCustomDataVersion2">
      <go:sheetsCustomData xmlns:go="http://customooxmlschemas.google.com/" r:id="rId7" roundtripDataChecksum="NSMU0gPOVLeJERh+IC+Ir6umQo2z2DDrNiD/v+6UcZQ="/>
    </ext>
  </extLst>
</workbook>
</file>

<file path=xl/calcChain.xml><?xml version="1.0" encoding="utf-8"?>
<calcChain xmlns="http://schemas.openxmlformats.org/spreadsheetml/2006/main">
  <c r="AL79" i="4" l="1"/>
  <c r="AM79" i="4"/>
  <c r="AN79" i="4"/>
  <c r="AO79" i="4"/>
  <c r="AP79" i="4"/>
  <c r="AQ79" i="4"/>
  <c r="AR79" i="4"/>
  <c r="AS79" i="4"/>
  <c r="AT79" i="4"/>
  <c r="AK79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F78" i="4"/>
  <c r="R77" i="4"/>
  <c r="R79" i="4"/>
  <c r="AT77" i="4"/>
  <c r="AL77" i="4"/>
  <c r="AM77" i="4"/>
  <c r="AN77" i="4"/>
  <c r="AO77" i="4"/>
  <c r="AP77" i="4"/>
  <c r="AQ77" i="4"/>
  <c r="AR77" i="4"/>
  <c r="AS77" i="4"/>
  <c r="AU77" i="4"/>
  <c r="AV77" i="4"/>
  <c r="AK77" i="4"/>
  <c r="AL78" i="4"/>
  <c r="AM78" i="4"/>
  <c r="AN78" i="4"/>
  <c r="AO78" i="4"/>
  <c r="AP78" i="4"/>
  <c r="AQ78" i="4"/>
  <c r="AR78" i="4"/>
  <c r="AS78" i="4"/>
  <c r="AT78" i="4"/>
  <c r="AU78" i="4"/>
  <c r="AV78" i="4"/>
  <c r="AK78" i="4"/>
  <c r="G77" i="4"/>
  <c r="H77" i="4"/>
  <c r="I77" i="4"/>
  <c r="J77" i="4"/>
  <c r="K77" i="4"/>
  <c r="L77" i="4"/>
  <c r="M77" i="4"/>
  <c r="N77" i="4"/>
  <c r="O77" i="4"/>
  <c r="P77" i="4"/>
  <c r="Q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F77" i="4"/>
  <c r="BL77" i="4"/>
  <c r="BL15" i="4"/>
  <c r="BL16" i="4"/>
  <c r="BL17" i="4"/>
  <c r="BL18" i="4"/>
  <c r="BL19" i="4"/>
  <c r="BL20" i="4"/>
  <c r="BL21" i="4"/>
  <c r="BL22" i="4"/>
  <c r="BL23" i="4"/>
  <c r="BL24" i="4"/>
  <c r="BL25" i="4"/>
  <c r="BL26" i="4"/>
  <c r="BL27" i="4"/>
  <c r="BL28" i="4"/>
  <c r="BL29" i="4"/>
  <c r="BL30" i="4"/>
  <c r="BL31" i="4"/>
  <c r="BL32" i="4"/>
  <c r="BL33" i="4"/>
  <c r="BL34" i="4"/>
  <c r="BL35" i="4"/>
  <c r="BL36" i="4"/>
  <c r="BL37" i="4"/>
  <c r="BL38" i="4"/>
  <c r="BL39" i="4"/>
  <c r="BL40" i="4"/>
  <c r="BL41" i="4"/>
  <c r="BL42" i="4"/>
  <c r="BL43" i="4"/>
  <c r="BL44" i="4"/>
  <c r="BL45" i="4"/>
  <c r="BL46" i="4"/>
  <c r="BL47" i="4"/>
  <c r="BL48" i="4"/>
  <c r="BL49" i="4"/>
  <c r="BL50" i="4"/>
  <c r="BL51" i="4"/>
  <c r="BL52" i="4"/>
  <c r="BL53" i="4"/>
  <c r="BL54" i="4"/>
  <c r="BL55" i="4"/>
  <c r="BL56" i="4"/>
  <c r="BL57" i="4"/>
  <c r="BL58" i="4"/>
  <c r="BL59" i="4"/>
  <c r="BL60" i="4"/>
  <c r="BL61" i="4"/>
  <c r="BL62" i="4"/>
  <c r="BL63" i="4"/>
  <c r="BL64" i="4"/>
  <c r="BL65" i="4"/>
  <c r="BL66" i="4"/>
  <c r="BL67" i="4"/>
  <c r="BL68" i="4"/>
  <c r="BL69" i="4"/>
  <c r="BL70" i="4"/>
  <c r="BL71" i="4"/>
  <c r="BL72" i="4"/>
  <c r="BL73" i="4"/>
  <c r="BL74" i="4"/>
  <c r="BL75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AY35" i="4"/>
  <c r="AZ35" i="4"/>
  <c r="AY36" i="4"/>
  <c r="AZ36" i="4"/>
  <c r="AY37" i="4"/>
  <c r="AZ37" i="4"/>
  <c r="AY38" i="4"/>
  <c r="AZ38" i="4"/>
  <c r="AY39" i="4"/>
  <c r="AZ39" i="4"/>
  <c r="AY40" i="4"/>
  <c r="AZ40" i="4"/>
  <c r="AY41" i="4"/>
  <c r="AZ41" i="4"/>
  <c r="AY42" i="4"/>
  <c r="AZ42" i="4"/>
  <c r="AY43" i="4"/>
  <c r="AZ43" i="4"/>
  <c r="AY44" i="4"/>
  <c r="AZ44" i="4"/>
  <c r="AY45" i="4"/>
  <c r="AZ45" i="4"/>
  <c r="AY46" i="4"/>
  <c r="AZ46" i="4"/>
  <c r="AY47" i="4"/>
  <c r="AZ47" i="4"/>
  <c r="AY48" i="4"/>
  <c r="AZ48" i="4"/>
  <c r="AY49" i="4"/>
  <c r="AZ49" i="4"/>
  <c r="AY50" i="4"/>
  <c r="AZ50" i="4"/>
  <c r="AY51" i="4"/>
  <c r="AZ51" i="4"/>
  <c r="AY52" i="4"/>
  <c r="AZ52" i="4"/>
  <c r="AY53" i="4"/>
  <c r="AZ53" i="4"/>
  <c r="AY54" i="4"/>
  <c r="AZ54" i="4"/>
  <c r="AY55" i="4"/>
  <c r="AZ55" i="4"/>
  <c r="AY56" i="4"/>
  <c r="AZ56" i="4"/>
  <c r="AY57" i="4"/>
  <c r="AZ57" i="4"/>
  <c r="AY58" i="4"/>
  <c r="AZ58" i="4"/>
  <c r="AY59" i="4"/>
  <c r="AZ59" i="4"/>
  <c r="AY60" i="4"/>
  <c r="AZ60" i="4"/>
  <c r="AY61" i="4"/>
  <c r="AZ61" i="4"/>
  <c r="AY62" i="4"/>
  <c r="AZ62" i="4"/>
  <c r="AY63" i="4"/>
  <c r="AZ63" i="4"/>
  <c r="AY64" i="4"/>
  <c r="AZ64" i="4"/>
  <c r="AY65" i="4"/>
  <c r="AZ65" i="4"/>
  <c r="AY66" i="4"/>
  <c r="AZ66" i="4"/>
  <c r="AY67" i="4"/>
  <c r="AZ67" i="4"/>
  <c r="AY68" i="4"/>
  <c r="AZ68" i="4"/>
  <c r="AY69" i="4"/>
  <c r="AZ69" i="4"/>
  <c r="AY70" i="4"/>
  <c r="AZ70" i="4"/>
  <c r="AY71" i="4"/>
  <c r="AZ71" i="4"/>
  <c r="AY72" i="4"/>
  <c r="AZ72" i="4"/>
  <c r="AY73" i="4"/>
  <c r="AZ73" i="4"/>
  <c r="AY74" i="4"/>
  <c r="AZ74" i="4"/>
  <c r="AY75" i="4"/>
  <c r="AZ75" i="4"/>
  <c r="AY34" i="4"/>
  <c r="AZ34" i="4"/>
  <c r="AX25" i="4"/>
  <c r="AW15" i="4"/>
  <c r="AX15" i="4"/>
  <c r="AW16" i="4"/>
  <c r="AX16" i="4"/>
  <c r="AW17" i="4"/>
  <c r="AX17" i="4"/>
  <c r="AW18" i="4"/>
  <c r="AX18" i="4"/>
  <c r="AW19" i="4"/>
  <c r="AX19" i="4"/>
  <c r="AW20" i="4"/>
  <c r="AX20" i="4"/>
  <c r="AW21" i="4"/>
  <c r="AX21" i="4"/>
  <c r="AW22" i="4"/>
  <c r="AX22" i="4"/>
  <c r="AW23" i="4"/>
  <c r="AX23" i="4"/>
  <c r="AW24" i="4"/>
  <c r="AX24" i="4"/>
  <c r="AW25" i="4"/>
  <c r="AW26" i="4"/>
  <c r="AX26" i="4"/>
  <c r="AW27" i="4"/>
  <c r="AX27" i="4"/>
  <c r="AW28" i="4"/>
  <c r="AX28" i="4"/>
  <c r="AW29" i="4"/>
  <c r="AX29" i="4"/>
  <c r="AW30" i="4"/>
  <c r="AX30" i="4"/>
  <c r="AW31" i="4"/>
  <c r="AX31" i="4"/>
  <c r="AW32" i="4"/>
  <c r="AX32" i="4"/>
  <c r="AW33" i="4"/>
  <c r="AX33" i="4"/>
  <c r="AK15" i="4"/>
  <c r="AL15" i="4"/>
  <c r="AM15" i="4"/>
  <c r="AO15" i="4"/>
  <c r="AQ15" i="4"/>
  <c r="AR15" i="4"/>
  <c r="AT15" i="4"/>
  <c r="AU15" i="4"/>
  <c r="AV15" i="4"/>
  <c r="AK16" i="4"/>
  <c r="AL16" i="4"/>
  <c r="AM16" i="4"/>
  <c r="AO16" i="4"/>
  <c r="AQ16" i="4"/>
  <c r="AR16" i="4"/>
  <c r="AT16" i="4"/>
  <c r="AU16" i="4"/>
  <c r="AV16" i="4"/>
  <c r="AK17" i="4"/>
  <c r="AL17" i="4"/>
  <c r="AM17" i="4"/>
  <c r="AO17" i="4"/>
  <c r="AQ17" i="4"/>
  <c r="AR17" i="4"/>
  <c r="AT17" i="4"/>
  <c r="AU17" i="4"/>
  <c r="AV17" i="4"/>
  <c r="AK18" i="4"/>
  <c r="AL18" i="4"/>
  <c r="AM18" i="4"/>
  <c r="AO18" i="4"/>
  <c r="AQ18" i="4"/>
  <c r="AR18" i="4"/>
  <c r="AT18" i="4"/>
  <c r="AU18" i="4"/>
  <c r="AV18" i="4"/>
  <c r="AK19" i="4"/>
  <c r="AL19" i="4"/>
  <c r="AM19" i="4"/>
  <c r="AO19" i="4"/>
  <c r="AQ19" i="4"/>
  <c r="AR19" i="4"/>
  <c r="AT19" i="4"/>
  <c r="AU19" i="4"/>
  <c r="AV19" i="4"/>
  <c r="AK20" i="4"/>
  <c r="AL20" i="4"/>
  <c r="AM20" i="4"/>
  <c r="AO20" i="4"/>
  <c r="AQ20" i="4"/>
  <c r="AR20" i="4"/>
  <c r="AT20" i="4"/>
  <c r="AU20" i="4"/>
  <c r="AV20" i="4"/>
  <c r="AK21" i="4"/>
  <c r="AL21" i="4"/>
  <c r="AM21" i="4"/>
  <c r="AO21" i="4"/>
  <c r="AQ21" i="4"/>
  <c r="AR21" i="4"/>
  <c r="AT21" i="4"/>
  <c r="AU21" i="4"/>
  <c r="AV21" i="4"/>
  <c r="AK22" i="4"/>
  <c r="AL22" i="4"/>
  <c r="AM22" i="4"/>
  <c r="AO22" i="4"/>
  <c r="AQ22" i="4"/>
  <c r="AR22" i="4"/>
  <c r="AT22" i="4"/>
  <c r="AU22" i="4"/>
  <c r="AV22" i="4"/>
  <c r="AK23" i="4"/>
  <c r="AL23" i="4"/>
  <c r="AM23" i="4"/>
  <c r="AO23" i="4"/>
  <c r="AQ23" i="4"/>
  <c r="AR23" i="4"/>
  <c r="AT23" i="4"/>
  <c r="AU23" i="4"/>
  <c r="AV23" i="4"/>
  <c r="AK24" i="4"/>
  <c r="AL24" i="4"/>
  <c r="AM24" i="4"/>
  <c r="AO24" i="4"/>
  <c r="AQ24" i="4"/>
  <c r="AR24" i="4"/>
  <c r="AT24" i="4"/>
  <c r="AU24" i="4"/>
  <c r="AV24" i="4"/>
  <c r="AK25" i="4"/>
  <c r="AL25" i="4"/>
  <c r="AM25" i="4"/>
  <c r="AO25" i="4"/>
  <c r="AQ25" i="4"/>
  <c r="AR25" i="4"/>
  <c r="AT25" i="4"/>
  <c r="AU25" i="4"/>
  <c r="AV25" i="4"/>
  <c r="AK26" i="4"/>
  <c r="AL26" i="4"/>
  <c r="AM26" i="4"/>
  <c r="AO26" i="4"/>
  <c r="AQ26" i="4"/>
  <c r="AR26" i="4"/>
  <c r="AT26" i="4"/>
  <c r="AU26" i="4"/>
  <c r="AV26" i="4"/>
  <c r="AK27" i="4"/>
  <c r="AL27" i="4"/>
  <c r="AM27" i="4"/>
  <c r="AO27" i="4"/>
  <c r="AQ27" i="4"/>
  <c r="AR27" i="4"/>
  <c r="AT27" i="4"/>
  <c r="AU27" i="4"/>
  <c r="AV27" i="4"/>
  <c r="AK28" i="4"/>
  <c r="AL28" i="4"/>
  <c r="AM28" i="4"/>
  <c r="AO28" i="4"/>
  <c r="AQ28" i="4"/>
  <c r="AR28" i="4"/>
  <c r="AT28" i="4"/>
  <c r="AU28" i="4"/>
  <c r="AV28" i="4"/>
  <c r="AK29" i="4"/>
  <c r="AL29" i="4"/>
  <c r="AM29" i="4"/>
  <c r="AO29" i="4"/>
  <c r="AQ29" i="4"/>
  <c r="AR29" i="4"/>
  <c r="AT29" i="4"/>
  <c r="AU29" i="4"/>
  <c r="AV29" i="4"/>
  <c r="AK30" i="4"/>
  <c r="AL30" i="4"/>
  <c r="AM30" i="4"/>
  <c r="AO30" i="4"/>
  <c r="AQ30" i="4"/>
  <c r="AR30" i="4"/>
  <c r="AT30" i="4"/>
  <c r="AU30" i="4"/>
  <c r="AV30" i="4"/>
  <c r="AK31" i="4"/>
  <c r="AL31" i="4"/>
  <c r="AM31" i="4"/>
  <c r="AO31" i="4"/>
  <c r="AQ31" i="4"/>
  <c r="AR31" i="4"/>
  <c r="AT31" i="4"/>
  <c r="AU31" i="4"/>
  <c r="AV31" i="4"/>
  <c r="AK32" i="4"/>
  <c r="AL32" i="4"/>
  <c r="AM32" i="4"/>
  <c r="AO32" i="4"/>
  <c r="AQ32" i="4"/>
  <c r="AR32" i="4"/>
  <c r="AT32" i="4"/>
  <c r="AU32" i="4"/>
  <c r="AV32" i="4"/>
  <c r="AK33" i="4"/>
  <c r="AL33" i="4"/>
  <c r="AM33" i="4"/>
  <c r="AO33" i="4"/>
  <c r="AQ33" i="4"/>
  <c r="AR33" i="4"/>
  <c r="AT33" i="4"/>
  <c r="AU33" i="4"/>
  <c r="AV33" i="4"/>
  <c r="AK34" i="4"/>
  <c r="AL34" i="4"/>
  <c r="AM34" i="4"/>
  <c r="AO34" i="4"/>
  <c r="AQ34" i="4"/>
  <c r="AR34" i="4"/>
  <c r="AT34" i="4"/>
  <c r="AU34" i="4"/>
  <c r="AV34" i="4"/>
  <c r="AK35" i="4"/>
  <c r="AL35" i="4"/>
  <c r="AM35" i="4"/>
  <c r="AO35" i="4"/>
  <c r="AQ35" i="4"/>
  <c r="AR35" i="4"/>
  <c r="AT35" i="4"/>
  <c r="AU35" i="4"/>
  <c r="AV35" i="4"/>
  <c r="AK36" i="4"/>
  <c r="AL36" i="4"/>
  <c r="AM36" i="4"/>
  <c r="AO36" i="4"/>
  <c r="AQ36" i="4"/>
  <c r="AR36" i="4"/>
  <c r="AT36" i="4"/>
  <c r="AU36" i="4"/>
  <c r="AV36" i="4"/>
  <c r="AK37" i="4"/>
  <c r="AL37" i="4"/>
  <c r="AM37" i="4"/>
  <c r="AO37" i="4"/>
  <c r="AQ37" i="4"/>
  <c r="AR37" i="4"/>
  <c r="AT37" i="4"/>
  <c r="AU37" i="4"/>
  <c r="AV37" i="4"/>
  <c r="AK38" i="4"/>
  <c r="AL38" i="4"/>
  <c r="AM38" i="4"/>
  <c r="AO38" i="4"/>
  <c r="AQ38" i="4"/>
  <c r="AR38" i="4"/>
  <c r="AT38" i="4"/>
  <c r="AU38" i="4"/>
  <c r="AV38" i="4"/>
  <c r="AK39" i="4"/>
  <c r="AL39" i="4"/>
  <c r="AM39" i="4"/>
  <c r="AO39" i="4"/>
  <c r="AQ39" i="4"/>
  <c r="AR39" i="4"/>
  <c r="AT39" i="4"/>
  <c r="AU39" i="4"/>
  <c r="AV39" i="4"/>
  <c r="AK40" i="4"/>
  <c r="AL40" i="4"/>
  <c r="AM40" i="4"/>
  <c r="AO40" i="4"/>
  <c r="AQ40" i="4"/>
  <c r="AR40" i="4"/>
  <c r="AT40" i="4"/>
  <c r="AU40" i="4"/>
  <c r="AV40" i="4"/>
  <c r="AK41" i="4"/>
  <c r="AL41" i="4"/>
  <c r="AM41" i="4"/>
  <c r="AO41" i="4"/>
  <c r="AQ41" i="4"/>
  <c r="AR41" i="4"/>
  <c r="AT41" i="4"/>
  <c r="AU41" i="4"/>
  <c r="AV41" i="4"/>
  <c r="AK42" i="4"/>
  <c r="AL42" i="4"/>
  <c r="AM42" i="4"/>
  <c r="AO42" i="4"/>
  <c r="AQ42" i="4"/>
  <c r="AR42" i="4"/>
  <c r="AT42" i="4"/>
  <c r="AU42" i="4"/>
  <c r="AV42" i="4"/>
  <c r="AK43" i="4"/>
  <c r="AL43" i="4"/>
  <c r="AM43" i="4"/>
  <c r="AO43" i="4"/>
  <c r="AQ43" i="4"/>
  <c r="AR43" i="4"/>
  <c r="AT43" i="4"/>
  <c r="AU43" i="4"/>
  <c r="AV43" i="4"/>
  <c r="AK44" i="4"/>
  <c r="AL44" i="4"/>
  <c r="AM44" i="4"/>
  <c r="AO44" i="4"/>
  <c r="AQ44" i="4"/>
  <c r="AR44" i="4"/>
  <c r="AT44" i="4"/>
  <c r="AU44" i="4"/>
  <c r="AV44" i="4"/>
  <c r="AK45" i="4"/>
  <c r="AL45" i="4"/>
  <c r="AM45" i="4"/>
  <c r="AO45" i="4"/>
  <c r="AQ45" i="4"/>
  <c r="AR45" i="4"/>
  <c r="AT45" i="4"/>
  <c r="AU45" i="4"/>
  <c r="AV45" i="4"/>
  <c r="AK46" i="4"/>
  <c r="AL46" i="4"/>
  <c r="AM46" i="4"/>
  <c r="AO46" i="4"/>
  <c r="AQ46" i="4"/>
  <c r="AR46" i="4"/>
  <c r="AT46" i="4"/>
  <c r="AU46" i="4"/>
  <c r="AV46" i="4"/>
  <c r="AK47" i="4"/>
  <c r="AL47" i="4"/>
  <c r="AM47" i="4"/>
  <c r="AO47" i="4"/>
  <c r="AQ47" i="4"/>
  <c r="AR47" i="4"/>
  <c r="AT47" i="4"/>
  <c r="AU47" i="4"/>
  <c r="AV47" i="4"/>
  <c r="AK48" i="4"/>
  <c r="AL48" i="4"/>
  <c r="AM48" i="4"/>
  <c r="AO48" i="4"/>
  <c r="AQ48" i="4"/>
  <c r="AR48" i="4"/>
  <c r="AT48" i="4"/>
  <c r="AU48" i="4"/>
  <c r="AV48" i="4"/>
  <c r="AK49" i="4"/>
  <c r="AL49" i="4"/>
  <c r="AM49" i="4"/>
  <c r="AO49" i="4"/>
  <c r="AQ49" i="4"/>
  <c r="AR49" i="4"/>
  <c r="AT49" i="4"/>
  <c r="AU49" i="4"/>
  <c r="AV49" i="4"/>
  <c r="AK50" i="4"/>
  <c r="AL50" i="4"/>
  <c r="AM50" i="4"/>
  <c r="AO50" i="4"/>
  <c r="AQ50" i="4"/>
  <c r="AR50" i="4"/>
  <c r="AT50" i="4"/>
  <c r="AU50" i="4"/>
  <c r="AV50" i="4"/>
  <c r="AK51" i="4"/>
  <c r="AL51" i="4"/>
  <c r="AM51" i="4"/>
  <c r="AO51" i="4"/>
  <c r="AQ51" i="4"/>
  <c r="AR51" i="4"/>
  <c r="AT51" i="4"/>
  <c r="AU51" i="4"/>
  <c r="AV51" i="4"/>
  <c r="AK52" i="4"/>
  <c r="AL52" i="4"/>
  <c r="AM52" i="4"/>
  <c r="AO52" i="4"/>
  <c r="AQ52" i="4"/>
  <c r="AR52" i="4"/>
  <c r="AT52" i="4"/>
  <c r="AU52" i="4"/>
  <c r="AV52" i="4"/>
  <c r="AK53" i="4"/>
  <c r="AL53" i="4"/>
  <c r="AM53" i="4"/>
  <c r="AO53" i="4"/>
  <c r="AQ53" i="4"/>
  <c r="AR53" i="4"/>
  <c r="AT53" i="4"/>
  <c r="AU53" i="4"/>
  <c r="AV53" i="4"/>
  <c r="AK54" i="4"/>
  <c r="AL54" i="4"/>
  <c r="AM54" i="4"/>
  <c r="AO54" i="4"/>
  <c r="AQ54" i="4"/>
  <c r="AR54" i="4"/>
  <c r="AT54" i="4"/>
  <c r="AU54" i="4"/>
  <c r="AV54" i="4"/>
  <c r="AK55" i="4"/>
  <c r="AL55" i="4"/>
  <c r="AM55" i="4"/>
  <c r="AO55" i="4"/>
  <c r="AQ55" i="4"/>
  <c r="AR55" i="4"/>
  <c r="AT55" i="4"/>
  <c r="AU55" i="4"/>
  <c r="AV55" i="4"/>
  <c r="AK56" i="4"/>
  <c r="AL56" i="4"/>
  <c r="AM56" i="4"/>
  <c r="AO56" i="4"/>
  <c r="AQ56" i="4"/>
  <c r="AR56" i="4"/>
  <c r="AT56" i="4"/>
  <c r="AU56" i="4"/>
  <c r="AV56" i="4"/>
  <c r="AK57" i="4"/>
  <c r="AL57" i="4"/>
  <c r="AM57" i="4"/>
  <c r="AO57" i="4"/>
  <c r="AQ57" i="4"/>
  <c r="AR57" i="4"/>
  <c r="AT57" i="4"/>
  <c r="AU57" i="4"/>
  <c r="AV57" i="4"/>
  <c r="AK58" i="4"/>
  <c r="AL58" i="4"/>
  <c r="AM58" i="4"/>
  <c r="AO58" i="4"/>
  <c r="AQ58" i="4"/>
  <c r="AR58" i="4"/>
  <c r="AT58" i="4"/>
  <c r="AU58" i="4"/>
  <c r="AV58" i="4"/>
  <c r="AK59" i="4"/>
  <c r="AL59" i="4"/>
  <c r="AM59" i="4"/>
  <c r="AO59" i="4"/>
  <c r="AQ59" i="4"/>
  <c r="AR59" i="4"/>
  <c r="AT59" i="4"/>
  <c r="AU59" i="4"/>
  <c r="AV59" i="4"/>
  <c r="AK60" i="4"/>
  <c r="AL60" i="4"/>
  <c r="AM60" i="4"/>
  <c r="AO60" i="4"/>
  <c r="AQ60" i="4"/>
  <c r="AR60" i="4"/>
  <c r="AT60" i="4"/>
  <c r="AU60" i="4"/>
  <c r="AV60" i="4"/>
  <c r="AK61" i="4"/>
  <c r="AL61" i="4"/>
  <c r="AM61" i="4"/>
  <c r="AO61" i="4"/>
  <c r="AQ61" i="4"/>
  <c r="AR61" i="4"/>
  <c r="AT61" i="4"/>
  <c r="AU61" i="4"/>
  <c r="AV61" i="4"/>
  <c r="AK62" i="4"/>
  <c r="AL62" i="4"/>
  <c r="AM62" i="4"/>
  <c r="AO62" i="4"/>
  <c r="AQ62" i="4"/>
  <c r="AR62" i="4"/>
  <c r="AT62" i="4"/>
  <c r="AU62" i="4"/>
  <c r="AV62" i="4"/>
  <c r="AK63" i="4"/>
  <c r="AL63" i="4"/>
  <c r="AM63" i="4"/>
  <c r="AO63" i="4"/>
  <c r="AQ63" i="4"/>
  <c r="AR63" i="4"/>
  <c r="AT63" i="4"/>
  <c r="AU63" i="4"/>
  <c r="AV63" i="4"/>
  <c r="AK64" i="4"/>
  <c r="AL64" i="4"/>
  <c r="AM64" i="4"/>
  <c r="AO64" i="4"/>
  <c r="AQ64" i="4"/>
  <c r="AR64" i="4"/>
  <c r="AT64" i="4"/>
  <c r="AU64" i="4"/>
  <c r="AV64" i="4"/>
  <c r="AK65" i="4"/>
  <c r="AL65" i="4"/>
  <c r="AM65" i="4"/>
  <c r="AO65" i="4"/>
  <c r="AQ65" i="4"/>
  <c r="AR65" i="4"/>
  <c r="AT65" i="4"/>
  <c r="AU65" i="4"/>
  <c r="AV65" i="4"/>
  <c r="AK66" i="4"/>
  <c r="AL66" i="4"/>
  <c r="AM66" i="4"/>
  <c r="AO66" i="4"/>
  <c r="AQ66" i="4"/>
  <c r="AR66" i="4"/>
  <c r="AT66" i="4"/>
  <c r="AU66" i="4"/>
  <c r="AV66" i="4"/>
  <c r="AK67" i="4"/>
  <c r="AL67" i="4"/>
  <c r="AM67" i="4"/>
  <c r="AO67" i="4"/>
  <c r="AQ67" i="4"/>
  <c r="AR67" i="4"/>
  <c r="AT67" i="4"/>
  <c r="AU67" i="4"/>
  <c r="AV67" i="4"/>
  <c r="AK68" i="4"/>
  <c r="AL68" i="4"/>
  <c r="AM68" i="4"/>
  <c r="AO68" i="4"/>
  <c r="AQ68" i="4"/>
  <c r="AR68" i="4"/>
  <c r="AT68" i="4"/>
  <c r="AU68" i="4"/>
  <c r="AV68" i="4"/>
  <c r="AK69" i="4"/>
  <c r="AL69" i="4"/>
  <c r="AM69" i="4"/>
  <c r="AO69" i="4"/>
  <c r="AQ69" i="4"/>
  <c r="AR69" i="4"/>
  <c r="AT69" i="4"/>
  <c r="AU69" i="4"/>
  <c r="AV69" i="4"/>
  <c r="AK70" i="4"/>
  <c r="AL70" i="4"/>
  <c r="AM70" i="4"/>
  <c r="AO70" i="4"/>
  <c r="AQ70" i="4"/>
  <c r="AR70" i="4"/>
  <c r="AT70" i="4"/>
  <c r="AU70" i="4"/>
  <c r="AV70" i="4"/>
  <c r="AK71" i="4"/>
  <c r="AL71" i="4"/>
  <c r="AM71" i="4"/>
  <c r="AO71" i="4"/>
  <c r="AQ71" i="4"/>
  <c r="AR71" i="4"/>
  <c r="AT71" i="4"/>
  <c r="AU71" i="4"/>
  <c r="AV71" i="4"/>
  <c r="AK72" i="4"/>
  <c r="AL72" i="4"/>
  <c r="AM72" i="4"/>
  <c r="AO72" i="4"/>
  <c r="AQ72" i="4"/>
  <c r="AR72" i="4"/>
  <c r="AT72" i="4"/>
  <c r="AU72" i="4"/>
  <c r="AV72" i="4"/>
  <c r="AK73" i="4"/>
  <c r="AL73" i="4"/>
  <c r="AM73" i="4"/>
  <c r="AO73" i="4"/>
  <c r="AQ73" i="4"/>
  <c r="AR73" i="4"/>
  <c r="AT73" i="4"/>
  <c r="AU73" i="4"/>
  <c r="AV73" i="4"/>
  <c r="AK74" i="4"/>
  <c r="AL74" i="4"/>
  <c r="AM74" i="4"/>
  <c r="AO74" i="4"/>
  <c r="AQ74" i="4"/>
  <c r="AR74" i="4"/>
  <c r="AT74" i="4"/>
  <c r="AU74" i="4"/>
  <c r="AV74" i="4"/>
  <c r="AK75" i="4"/>
  <c r="AL75" i="4"/>
  <c r="AM75" i="4"/>
  <c r="AO75" i="4"/>
  <c r="AQ75" i="4"/>
  <c r="AR75" i="4"/>
  <c r="AT75" i="4"/>
  <c r="AU75" i="4"/>
  <c r="AV75" i="4"/>
  <c r="AK14" i="4"/>
  <c r="AW14" i="4" s="1"/>
  <c r="AL14" i="4"/>
  <c r="AM14" i="4"/>
  <c r="AO14" i="4"/>
  <c r="AQ14" i="4"/>
  <c r="AR14" i="4"/>
  <c r="AT14" i="4"/>
  <c r="AU14" i="4"/>
  <c r="AV14" i="4"/>
  <c r="AX14" i="4"/>
  <c r="AY77" i="4" l="1"/>
  <c r="AX78" i="4"/>
  <c r="AW78" i="4"/>
  <c r="BI78" i="4"/>
  <c r="I87" i="4" s="1"/>
  <c r="AJ78" i="4"/>
  <c r="BI77" i="4"/>
  <c r="BI79" i="4" s="1"/>
  <c r="AZ77" i="4"/>
  <c r="AJ77" i="4"/>
  <c r="AI79" i="4"/>
  <c r="AH79" i="4"/>
  <c r="AG79" i="4"/>
  <c r="AF79" i="4"/>
  <c r="AE79" i="4"/>
  <c r="AD79" i="4"/>
  <c r="AA79" i="4"/>
  <c r="Z79" i="4"/>
  <c r="Y79" i="4"/>
  <c r="X79" i="4"/>
  <c r="W79" i="4"/>
  <c r="V79" i="4"/>
  <c r="S79" i="4"/>
  <c r="Q79" i="4"/>
  <c r="P79" i="4"/>
  <c r="O79" i="4"/>
  <c r="K79" i="4"/>
  <c r="I79" i="4"/>
  <c r="H79" i="4"/>
  <c r="G79" i="4"/>
  <c r="BJ75" i="4"/>
  <c r="BG75" i="4"/>
  <c r="BF75" i="4"/>
  <c r="BE75" i="4"/>
  <c r="BD75" i="4"/>
  <c r="BC75" i="4"/>
  <c r="BB75" i="4"/>
  <c r="BJ74" i="4"/>
  <c r="BG74" i="4"/>
  <c r="BF74" i="4"/>
  <c r="BE74" i="4"/>
  <c r="BD74" i="4"/>
  <c r="BC74" i="4"/>
  <c r="BB74" i="4"/>
  <c r="BJ73" i="4"/>
  <c r="BG73" i="4"/>
  <c r="BF73" i="4"/>
  <c r="BE73" i="4"/>
  <c r="BD73" i="4"/>
  <c r="BC73" i="4"/>
  <c r="BB73" i="4"/>
  <c r="BJ72" i="4"/>
  <c r="BG72" i="4"/>
  <c r="BF72" i="4"/>
  <c r="BE72" i="4"/>
  <c r="BD72" i="4"/>
  <c r="BC72" i="4"/>
  <c r="BB72" i="4"/>
  <c r="BJ62" i="4"/>
  <c r="BG62" i="4"/>
  <c r="BF62" i="4"/>
  <c r="BE62" i="4"/>
  <c r="BD62" i="4"/>
  <c r="BC62" i="4"/>
  <c r="BB62" i="4"/>
  <c r="BJ61" i="4"/>
  <c r="BG61" i="4"/>
  <c r="BF61" i="4"/>
  <c r="BE61" i="4"/>
  <c r="BD61" i="4"/>
  <c r="BC61" i="4"/>
  <c r="BB61" i="4"/>
  <c r="BJ60" i="4"/>
  <c r="BG60" i="4"/>
  <c r="BF60" i="4"/>
  <c r="BE60" i="4"/>
  <c r="BD60" i="4"/>
  <c r="BC60" i="4"/>
  <c r="BB60" i="4"/>
  <c r="BJ59" i="4"/>
  <c r="BG59" i="4"/>
  <c r="BF59" i="4"/>
  <c r="BE59" i="4"/>
  <c r="BD59" i="4"/>
  <c r="BC59" i="4"/>
  <c r="BB59" i="4"/>
  <c r="BJ58" i="4"/>
  <c r="BG58" i="4"/>
  <c r="BF58" i="4"/>
  <c r="BE58" i="4"/>
  <c r="BD58" i="4"/>
  <c r="BC58" i="4"/>
  <c r="BB58" i="4"/>
  <c r="BJ57" i="4"/>
  <c r="BG57" i="4"/>
  <c r="BF57" i="4"/>
  <c r="BE57" i="4"/>
  <c r="BD57" i="4"/>
  <c r="BC57" i="4"/>
  <c r="BB57" i="4"/>
  <c r="BJ56" i="4"/>
  <c r="BG56" i="4"/>
  <c r="BF56" i="4"/>
  <c r="BE56" i="4"/>
  <c r="BD56" i="4"/>
  <c r="BC56" i="4"/>
  <c r="BB56" i="4"/>
  <c r="BJ55" i="4"/>
  <c r="BG55" i="4"/>
  <c r="BF55" i="4"/>
  <c r="BE55" i="4"/>
  <c r="BD55" i="4"/>
  <c r="BC55" i="4"/>
  <c r="BB55" i="4"/>
  <c r="BJ54" i="4"/>
  <c r="BG54" i="4"/>
  <c r="BF54" i="4"/>
  <c r="BE54" i="4"/>
  <c r="BD54" i="4"/>
  <c r="BC54" i="4"/>
  <c r="BB54" i="4"/>
  <c r="BJ53" i="4"/>
  <c r="BG53" i="4"/>
  <c r="BF53" i="4"/>
  <c r="BE53" i="4"/>
  <c r="BD53" i="4"/>
  <c r="BC53" i="4"/>
  <c r="BB53" i="4"/>
  <c r="BJ52" i="4"/>
  <c r="BG52" i="4"/>
  <c r="BF52" i="4"/>
  <c r="BE52" i="4"/>
  <c r="BD52" i="4"/>
  <c r="BC52" i="4"/>
  <c r="BB52" i="4"/>
  <c r="BJ51" i="4"/>
  <c r="BG51" i="4"/>
  <c r="BF51" i="4"/>
  <c r="BE51" i="4"/>
  <c r="BD51" i="4"/>
  <c r="BC51" i="4"/>
  <c r="BB51" i="4"/>
  <c r="BJ50" i="4"/>
  <c r="BG50" i="4"/>
  <c r="BF50" i="4"/>
  <c r="BE50" i="4"/>
  <c r="BD50" i="4"/>
  <c r="BC50" i="4"/>
  <c r="BB50" i="4"/>
  <c r="BJ49" i="4"/>
  <c r="BG49" i="4"/>
  <c r="BF49" i="4"/>
  <c r="BE49" i="4"/>
  <c r="BD49" i="4"/>
  <c r="BC49" i="4"/>
  <c r="BB49" i="4"/>
  <c r="BJ48" i="4"/>
  <c r="BG48" i="4"/>
  <c r="BF48" i="4"/>
  <c r="BE48" i="4"/>
  <c r="BD48" i="4"/>
  <c r="BC48" i="4"/>
  <c r="BB48" i="4"/>
  <c r="BJ47" i="4"/>
  <c r="BG47" i="4"/>
  <c r="BF47" i="4"/>
  <c r="BE47" i="4"/>
  <c r="BD47" i="4"/>
  <c r="BC47" i="4"/>
  <c r="BB47" i="4"/>
  <c r="BJ46" i="4"/>
  <c r="BG46" i="4"/>
  <c r="BF46" i="4"/>
  <c r="BE46" i="4"/>
  <c r="BD46" i="4"/>
  <c r="BC46" i="4"/>
  <c r="BB46" i="4"/>
  <c r="BJ45" i="4"/>
  <c r="BG45" i="4"/>
  <c r="BF45" i="4"/>
  <c r="BE45" i="4"/>
  <c r="BD45" i="4"/>
  <c r="BC45" i="4"/>
  <c r="BB45" i="4"/>
  <c r="BJ44" i="4"/>
  <c r="BG44" i="4"/>
  <c r="BF44" i="4"/>
  <c r="BE44" i="4"/>
  <c r="BD44" i="4"/>
  <c r="BC44" i="4"/>
  <c r="BB44" i="4"/>
  <c r="BJ43" i="4"/>
  <c r="BG43" i="4"/>
  <c r="BF43" i="4"/>
  <c r="BE43" i="4"/>
  <c r="BD43" i="4"/>
  <c r="BC43" i="4"/>
  <c r="BB43" i="4"/>
  <c r="BJ42" i="4"/>
  <c r="BG42" i="4"/>
  <c r="BF42" i="4"/>
  <c r="BE42" i="4"/>
  <c r="BD42" i="4"/>
  <c r="BC42" i="4"/>
  <c r="BB42" i="4"/>
  <c r="BJ41" i="4"/>
  <c r="BG41" i="4"/>
  <c r="BF41" i="4"/>
  <c r="BE41" i="4"/>
  <c r="BD41" i="4"/>
  <c r="BC41" i="4"/>
  <c r="BB41" i="4"/>
  <c r="BJ40" i="4"/>
  <c r="BG40" i="4"/>
  <c r="BF40" i="4"/>
  <c r="BE40" i="4"/>
  <c r="BD40" i="4"/>
  <c r="BC40" i="4"/>
  <c r="BB40" i="4"/>
  <c r="BJ39" i="4"/>
  <c r="BG39" i="4"/>
  <c r="BF39" i="4"/>
  <c r="BE39" i="4"/>
  <c r="BD39" i="4"/>
  <c r="BC39" i="4"/>
  <c r="BB39" i="4"/>
  <c r="BJ38" i="4"/>
  <c r="BG38" i="4"/>
  <c r="BF38" i="4"/>
  <c r="BE38" i="4"/>
  <c r="BD38" i="4"/>
  <c r="BC38" i="4"/>
  <c r="BB38" i="4"/>
  <c r="BJ37" i="4"/>
  <c r="BG37" i="4"/>
  <c r="BF37" i="4"/>
  <c r="BE37" i="4"/>
  <c r="BD37" i="4"/>
  <c r="BC37" i="4"/>
  <c r="BB37" i="4"/>
  <c r="BJ36" i="4"/>
  <c r="BG36" i="4"/>
  <c r="BF36" i="4"/>
  <c r="BE36" i="4"/>
  <c r="BD36" i="4"/>
  <c r="BC36" i="4"/>
  <c r="BB36" i="4"/>
  <c r="BJ35" i="4"/>
  <c r="BG35" i="4"/>
  <c r="BF35" i="4"/>
  <c r="BE35" i="4"/>
  <c r="BD35" i="4"/>
  <c r="BC35" i="4"/>
  <c r="BB35" i="4"/>
  <c r="BJ34" i="4"/>
  <c r="BG34" i="4"/>
  <c r="BF34" i="4"/>
  <c r="BE34" i="4"/>
  <c r="BD34" i="4"/>
  <c r="BC34" i="4"/>
  <c r="BB34" i="4"/>
  <c r="BJ33" i="4"/>
  <c r="BG33" i="4"/>
  <c r="BF33" i="4"/>
  <c r="BE33" i="4"/>
  <c r="BD33" i="4"/>
  <c r="BC33" i="4"/>
  <c r="BB33" i="4"/>
  <c r="BJ32" i="4"/>
  <c r="BG32" i="4"/>
  <c r="BF32" i="4"/>
  <c r="BE32" i="4"/>
  <c r="BD32" i="4"/>
  <c r="BC32" i="4"/>
  <c r="BB32" i="4"/>
  <c r="BJ31" i="4"/>
  <c r="BG31" i="4"/>
  <c r="BF31" i="4"/>
  <c r="BE31" i="4"/>
  <c r="BD31" i="4"/>
  <c r="BC31" i="4"/>
  <c r="BB31" i="4"/>
  <c r="BJ30" i="4"/>
  <c r="BG30" i="4"/>
  <c r="BF30" i="4"/>
  <c r="BE30" i="4"/>
  <c r="BD30" i="4"/>
  <c r="BC30" i="4"/>
  <c r="BB30" i="4"/>
  <c r="BJ25" i="4"/>
  <c r="BG25" i="4"/>
  <c r="BF25" i="4"/>
  <c r="BE25" i="4"/>
  <c r="BD25" i="4"/>
  <c r="BC25" i="4"/>
  <c r="BB25" i="4"/>
  <c r="BJ24" i="4"/>
  <c r="BG24" i="4"/>
  <c r="BF24" i="4"/>
  <c r="BE24" i="4"/>
  <c r="BD24" i="4"/>
  <c r="BC24" i="4"/>
  <c r="BB24" i="4"/>
  <c r="BJ23" i="4"/>
  <c r="BG23" i="4"/>
  <c r="BF23" i="4"/>
  <c r="BE23" i="4"/>
  <c r="BD23" i="4"/>
  <c r="BC23" i="4"/>
  <c r="BB23" i="4"/>
  <c r="BJ22" i="4"/>
  <c r="BG22" i="4"/>
  <c r="BF22" i="4"/>
  <c r="BE22" i="4"/>
  <c r="BD22" i="4"/>
  <c r="BC22" i="4"/>
  <c r="BB22" i="4"/>
  <c r="BJ21" i="4"/>
  <c r="BG21" i="4"/>
  <c r="BF21" i="4"/>
  <c r="BE21" i="4"/>
  <c r="BD21" i="4"/>
  <c r="BC21" i="4"/>
  <c r="BB21" i="4"/>
  <c r="BJ20" i="4"/>
  <c r="BG20" i="4"/>
  <c r="BF20" i="4"/>
  <c r="BE20" i="4"/>
  <c r="BD20" i="4"/>
  <c r="BC20" i="4"/>
  <c r="BB20" i="4"/>
  <c r="BJ19" i="4"/>
  <c r="BG19" i="4"/>
  <c r="BF19" i="4"/>
  <c r="BE19" i="4"/>
  <c r="BD19" i="4"/>
  <c r="BC19" i="4"/>
  <c r="BB19" i="4"/>
  <c r="BJ18" i="4"/>
  <c r="BG18" i="4"/>
  <c r="BF18" i="4"/>
  <c r="BE18" i="4"/>
  <c r="BD18" i="4"/>
  <c r="BC18" i="4"/>
  <c r="BB18" i="4"/>
  <c r="BJ17" i="4"/>
  <c r="BG17" i="4"/>
  <c r="BF17" i="4"/>
  <c r="BE17" i="4"/>
  <c r="BD17" i="4"/>
  <c r="BC17" i="4"/>
  <c r="BB17" i="4"/>
  <c r="BJ16" i="4"/>
  <c r="BG16" i="4"/>
  <c r="BF16" i="4"/>
  <c r="BE16" i="4"/>
  <c r="BD16" i="4"/>
  <c r="BC16" i="4"/>
  <c r="BB16" i="4"/>
  <c r="BJ15" i="4"/>
  <c r="BG15" i="4"/>
  <c r="BF15" i="4"/>
  <c r="BE15" i="4"/>
  <c r="BD15" i="4"/>
  <c r="BC15" i="4"/>
  <c r="BB15" i="4"/>
  <c r="BJ14" i="4"/>
  <c r="BG14" i="4"/>
  <c r="BF14" i="4"/>
  <c r="BE14" i="4"/>
  <c r="BD14" i="4"/>
  <c r="BC14" i="4"/>
  <c r="BB14" i="4"/>
  <c r="N79" i="4" l="1"/>
  <c r="J79" i="4"/>
  <c r="L79" i="4"/>
  <c r="T79" i="4"/>
  <c r="AB79" i="4"/>
  <c r="AJ79" i="4"/>
  <c r="F79" i="4"/>
  <c r="BH14" i="4"/>
  <c r="BH44" i="4"/>
  <c r="BH32" i="4"/>
  <c r="BK32" i="4" s="1"/>
  <c r="BH73" i="4"/>
  <c r="BK73" i="4" s="1"/>
  <c r="BH24" i="4"/>
  <c r="BK24" i="4" s="1"/>
  <c r="BE78" i="4"/>
  <c r="BH36" i="4"/>
  <c r="BK36" i="4" s="1"/>
  <c r="BH37" i="4"/>
  <c r="BK37" i="4" s="1"/>
  <c r="BH23" i="4"/>
  <c r="BK23" i="4" s="1"/>
  <c r="BF78" i="4"/>
  <c r="BH60" i="4"/>
  <c r="BK60" i="4" s="1"/>
  <c r="BH20" i="4"/>
  <c r="BK20" i="4" s="1"/>
  <c r="BH62" i="4"/>
  <c r="BK62" i="4" s="1"/>
  <c r="M79" i="4"/>
  <c r="U79" i="4"/>
  <c r="AC79" i="4"/>
  <c r="BH72" i="4"/>
  <c r="BK72" i="4" s="1"/>
  <c r="AZ78" i="4"/>
  <c r="F88" i="4" s="1"/>
  <c r="BH16" i="4"/>
  <c r="BK16" i="4" s="1"/>
  <c r="BB78" i="4"/>
  <c r="BH48" i="4"/>
  <c r="BK48" i="4" s="1"/>
  <c r="BH49" i="4"/>
  <c r="BK49" i="4" s="1"/>
  <c r="BH52" i="4"/>
  <c r="BK52" i="4" s="1"/>
  <c r="BH56" i="4"/>
  <c r="BK56" i="4" s="1"/>
  <c r="BJ77" i="4"/>
  <c r="AX77" i="4"/>
  <c r="F85" i="4" s="1"/>
  <c r="K85" i="4" s="1"/>
  <c r="BH40" i="4"/>
  <c r="BK40" i="4" s="1"/>
  <c r="BH43" i="4"/>
  <c r="BK43" i="4" s="1"/>
  <c r="BH50" i="4"/>
  <c r="BK50" i="4" s="1"/>
  <c r="BC77" i="4"/>
  <c r="BH21" i="4"/>
  <c r="BK21" i="4" s="1"/>
  <c r="BH30" i="4"/>
  <c r="BK30" i="4" s="1"/>
  <c r="BG78" i="4"/>
  <c r="BH51" i="4"/>
  <c r="BK51" i="4" s="1"/>
  <c r="BH57" i="4"/>
  <c r="BK57" i="4" s="1"/>
  <c r="BH19" i="4"/>
  <c r="BK19" i="4" s="1"/>
  <c r="BJ78" i="4"/>
  <c r="I88" i="4" s="1"/>
  <c r="BH39" i="4"/>
  <c r="BK39" i="4" s="1"/>
  <c r="BH45" i="4"/>
  <c r="BK45" i="4" s="1"/>
  <c r="BH58" i="4"/>
  <c r="BK58" i="4" s="1"/>
  <c r="BE77" i="4"/>
  <c r="BH33" i="4"/>
  <c r="BK33" i="4" s="1"/>
  <c r="BH38" i="4"/>
  <c r="BK38" i="4" s="1"/>
  <c r="BH46" i="4"/>
  <c r="BK46" i="4" s="1"/>
  <c r="BH59" i="4"/>
  <c r="BK59" i="4" s="1"/>
  <c r="BH74" i="4"/>
  <c r="BK74" i="4" s="1"/>
  <c r="BH18" i="4"/>
  <c r="BK18" i="4" s="1"/>
  <c r="BB77" i="4"/>
  <c r="BB79" i="4" s="1"/>
  <c r="BF77" i="4"/>
  <c r="BH22" i="4"/>
  <c r="BK22" i="4" s="1"/>
  <c r="BH31" i="4"/>
  <c r="BK31" i="4" s="1"/>
  <c r="BH47" i="4"/>
  <c r="BK47" i="4" s="1"/>
  <c r="BH53" i="4"/>
  <c r="BK53" i="4" s="1"/>
  <c r="BH75" i="4"/>
  <c r="BK75" i="4" s="1"/>
  <c r="BH17" i="4"/>
  <c r="BK17" i="4" s="1"/>
  <c r="BG77" i="4"/>
  <c r="BG79" i="4" s="1"/>
  <c r="BH15" i="4"/>
  <c r="BK15" i="4" s="1"/>
  <c r="BC78" i="4"/>
  <c r="BH35" i="4"/>
  <c r="BK35" i="4" s="1"/>
  <c r="BH41" i="4"/>
  <c r="BK41" i="4" s="1"/>
  <c r="BH54" i="4"/>
  <c r="BK54" i="4" s="1"/>
  <c r="BH25" i="4"/>
  <c r="BK25" i="4" s="1"/>
  <c r="BH34" i="4"/>
  <c r="BK34" i="4" s="1"/>
  <c r="BH42" i="4"/>
  <c r="BK42" i="4" s="1"/>
  <c r="BK44" i="4"/>
  <c r="BH55" i="4"/>
  <c r="BK55" i="4" s="1"/>
  <c r="BH61" i="4"/>
  <c r="BK61" i="4" s="1"/>
  <c r="BK14" i="4"/>
  <c r="I89" i="4"/>
  <c r="BD78" i="4"/>
  <c r="BD77" i="4"/>
  <c r="K88" i="4" l="1"/>
  <c r="AZ79" i="4"/>
  <c r="AX79" i="4"/>
  <c r="BE79" i="4"/>
  <c r="BF79" i="4"/>
  <c r="AV79" i="4"/>
  <c r="BH78" i="4"/>
  <c r="AY78" i="4"/>
  <c r="BD79" i="4"/>
  <c r="BH77" i="4"/>
  <c r="I84" i="4" s="1"/>
  <c r="I86" i="4" s="1"/>
  <c r="I90" i="4" s="1"/>
  <c r="AU79" i="4"/>
  <c r="BC79" i="4"/>
  <c r="BJ79" i="4"/>
  <c r="AW77" i="4"/>
  <c r="BA78" i="4"/>
  <c r="BA14" i="4"/>
  <c r="BA77" i="4" s="1"/>
  <c r="BK78" i="4"/>
  <c r="BK77" i="4"/>
  <c r="AL70" i="5"/>
  <c r="AB63" i="5"/>
  <c r="E62" i="5"/>
  <c r="AF61" i="5"/>
  <c r="Y61" i="5"/>
  <c r="W61" i="5"/>
  <c r="U61" i="5"/>
  <c r="U57" i="5" s="1"/>
  <c r="T61" i="5"/>
  <c r="T56" i="5" s="1"/>
  <c r="S61" i="5"/>
  <c r="R61" i="5"/>
  <c r="AI59" i="5"/>
  <c r="AH59" i="5"/>
  <c r="AG59" i="5"/>
  <c r="AF59" i="5"/>
  <c r="AD59" i="5"/>
  <c r="X59" i="5"/>
  <c r="Q59" i="5"/>
  <c r="P59" i="5"/>
  <c r="O59" i="5"/>
  <c r="N59" i="5"/>
  <c r="M59" i="5"/>
  <c r="L59" i="5"/>
  <c r="K59" i="5"/>
  <c r="J59" i="5"/>
  <c r="G59" i="5"/>
  <c r="F59" i="5"/>
  <c r="AJ58" i="5"/>
  <c r="AC58" i="5"/>
  <c r="AB58" i="5"/>
  <c r="AA58" i="5"/>
  <c r="Z58" i="5"/>
  <c r="Y58" i="5"/>
  <c r="W58" i="5"/>
  <c r="U58" i="5"/>
  <c r="H58" i="5"/>
  <c r="I58" i="5" s="1"/>
  <c r="A58" i="5"/>
  <c r="AJ57" i="5"/>
  <c r="AC57" i="5"/>
  <c r="AB57" i="5"/>
  <c r="AA57" i="5"/>
  <c r="Z57" i="5"/>
  <c r="Y57" i="5"/>
  <c r="W57" i="5"/>
  <c r="T57" i="5"/>
  <c r="R57" i="5"/>
  <c r="H57" i="5"/>
  <c r="I57" i="5" s="1"/>
  <c r="S57" i="5" s="1"/>
  <c r="A57" i="5"/>
  <c r="AJ56" i="5"/>
  <c r="AC56" i="5"/>
  <c r="AB56" i="5"/>
  <c r="AA56" i="5"/>
  <c r="Z56" i="5"/>
  <c r="Y56" i="5"/>
  <c r="W56" i="5"/>
  <c r="U56" i="5"/>
  <c r="R56" i="5"/>
  <c r="H56" i="5"/>
  <c r="I56" i="5" s="1"/>
  <c r="A56" i="5"/>
  <c r="AJ55" i="5"/>
  <c r="AC55" i="5"/>
  <c r="AB55" i="5"/>
  <c r="AA55" i="5"/>
  <c r="Z55" i="5"/>
  <c r="Y55" i="5"/>
  <c r="W55" i="5"/>
  <c r="R55" i="5"/>
  <c r="H55" i="5"/>
  <c r="I55" i="5" s="1"/>
  <c r="A55" i="5"/>
  <c r="AJ54" i="5"/>
  <c r="AC54" i="5"/>
  <c r="AB54" i="5"/>
  <c r="AA54" i="5"/>
  <c r="Z54" i="5"/>
  <c r="Y54" i="5"/>
  <c r="W54" i="5"/>
  <c r="U54" i="5"/>
  <c r="R54" i="5"/>
  <c r="I54" i="5"/>
  <c r="H54" i="5"/>
  <c r="A54" i="5"/>
  <c r="AJ53" i="5"/>
  <c r="AC53" i="5"/>
  <c r="AB53" i="5"/>
  <c r="AA53" i="5"/>
  <c r="Z53" i="5"/>
  <c r="Y53" i="5"/>
  <c r="W53" i="5"/>
  <c r="U53" i="5"/>
  <c r="R53" i="5"/>
  <c r="H53" i="5"/>
  <c r="I53" i="5" s="1"/>
  <c r="S53" i="5" s="1"/>
  <c r="A53" i="5"/>
  <c r="AJ52" i="5"/>
  <c r="AC52" i="5"/>
  <c r="AB52" i="5"/>
  <c r="AA52" i="5"/>
  <c r="Z52" i="5"/>
  <c r="Y52" i="5"/>
  <c r="W52" i="5"/>
  <c r="U52" i="5"/>
  <c r="R52" i="5"/>
  <c r="I52" i="5"/>
  <c r="S52" i="5" s="1"/>
  <c r="H52" i="5"/>
  <c r="A52" i="5"/>
  <c r="AJ51" i="5"/>
  <c r="AC51" i="5"/>
  <c r="AB51" i="5"/>
  <c r="AA51" i="5"/>
  <c r="Z51" i="5"/>
  <c r="Y51" i="5"/>
  <c r="W51" i="5"/>
  <c r="U51" i="5"/>
  <c r="T51" i="5"/>
  <c r="R51" i="5"/>
  <c r="H51" i="5"/>
  <c r="I51" i="5" s="1"/>
  <c r="S51" i="5" s="1"/>
  <c r="A51" i="5"/>
  <c r="AJ50" i="5"/>
  <c r="AC50" i="5"/>
  <c r="AB50" i="5"/>
  <c r="AA50" i="5"/>
  <c r="Z50" i="5"/>
  <c r="Y50" i="5"/>
  <c r="W50" i="5"/>
  <c r="U50" i="5"/>
  <c r="R50" i="5"/>
  <c r="I50" i="5"/>
  <c r="S50" i="5" s="1"/>
  <c r="H50" i="5"/>
  <c r="A50" i="5"/>
  <c r="AJ49" i="5"/>
  <c r="AC49" i="5"/>
  <c r="AB49" i="5"/>
  <c r="AA49" i="5"/>
  <c r="Z49" i="5"/>
  <c r="Y49" i="5"/>
  <c r="W49" i="5"/>
  <c r="U49" i="5"/>
  <c r="T49" i="5"/>
  <c r="R49" i="5"/>
  <c r="H49" i="5"/>
  <c r="I49" i="5" s="1"/>
  <c r="S49" i="5" s="1"/>
  <c r="A49" i="5"/>
  <c r="AJ48" i="5"/>
  <c r="AC48" i="5"/>
  <c r="AB48" i="5"/>
  <c r="AA48" i="5"/>
  <c r="Z48" i="5"/>
  <c r="Y48" i="5"/>
  <c r="W48" i="5"/>
  <c r="U48" i="5"/>
  <c r="R48" i="5"/>
  <c r="H48" i="5"/>
  <c r="I48" i="5" s="1"/>
  <c r="S48" i="5" s="1"/>
  <c r="A48" i="5"/>
  <c r="AJ47" i="5"/>
  <c r="AC47" i="5"/>
  <c r="AB47" i="5"/>
  <c r="AA47" i="5"/>
  <c r="Z47" i="5"/>
  <c r="Y47" i="5"/>
  <c r="W47" i="5"/>
  <c r="U47" i="5"/>
  <c r="R47" i="5"/>
  <c r="H47" i="5"/>
  <c r="I47" i="5" s="1"/>
  <c r="S47" i="5" s="1"/>
  <c r="A47" i="5"/>
  <c r="AJ46" i="5"/>
  <c r="AC46" i="5"/>
  <c r="AB46" i="5"/>
  <c r="AA46" i="5"/>
  <c r="Z46" i="5"/>
  <c r="Y46" i="5"/>
  <c r="W46" i="5"/>
  <c r="U46" i="5"/>
  <c r="R46" i="5"/>
  <c r="I46" i="5"/>
  <c r="S46" i="5" s="1"/>
  <c r="H46" i="5"/>
  <c r="A46" i="5"/>
  <c r="AJ45" i="5"/>
  <c r="AC45" i="5"/>
  <c r="AB45" i="5"/>
  <c r="AA45" i="5"/>
  <c r="Z45" i="5"/>
  <c r="Y45" i="5"/>
  <c r="W45" i="5"/>
  <c r="U45" i="5"/>
  <c r="R45" i="5"/>
  <c r="H45" i="5"/>
  <c r="I45" i="5" s="1"/>
  <c r="S45" i="5" s="1"/>
  <c r="A45" i="5"/>
  <c r="AJ44" i="5"/>
  <c r="AC44" i="5"/>
  <c r="AB44" i="5"/>
  <c r="AA44" i="5"/>
  <c r="Z44" i="5"/>
  <c r="Y44" i="5"/>
  <c r="W44" i="5"/>
  <c r="U44" i="5"/>
  <c r="R44" i="5"/>
  <c r="I44" i="5"/>
  <c r="S44" i="5" s="1"/>
  <c r="H44" i="5"/>
  <c r="A44" i="5"/>
  <c r="AJ43" i="5"/>
  <c r="AC43" i="5"/>
  <c r="AB43" i="5"/>
  <c r="AA43" i="5"/>
  <c r="Z43" i="5"/>
  <c r="Y43" i="5"/>
  <c r="W43" i="5"/>
  <c r="U43" i="5"/>
  <c r="T43" i="5"/>
  <c r="R43" i="5"/>
  <c r="I43" i="5"/>
  <c r="S43" i="5" s="1"/>
  <c r="H43" i="5"/>
  <c r="A43" i="5"/>
  <c r="AJ42" i="5"/>
  <c r="AC42" i="5"/>
  <c r="AB42" i="5"/>
  <c r="AA42" i="5"/>
  <c r="Z42" i="5"/>
  <c r="Y42" i="5"/>
  <c r="W42" i="5"/>
  <c r="U42" i="5"/>
  <c r="R42" i="5"/>
  <c r="H42" i="5"/>
  <c r="I42" i="5" s="1"/>
  <c r="S42" i="5" s="1"/>
  <c r="A42" i="5"/>
  <c r="AJ41" i="5"/>
  <c r="AC41" i="5"/>
  <c r="AB41" i="5"/>
  <c r="AA41" i="5"/>
  <c r="Z41" i="5"/>
  <c r="Y41" i="5"/>
  <c r="W41" i="5"/>
  <c r="U41" i="5"/>
  <c r="T41" i="5"/>
  <c r="S41" i="5"/>
  <c r="R41" i="5"/>
  <c r="I41" i="5"/>
  <c r="H41" i="5"/>
  <c r="A41" i="5"/>
  <c r="AJ40" i="5"/>
  <c r="AC40" i="5"/>
  <c r="AB40" i="5"/>
  <c r="AA40" i="5"/>
  <c r="Z40" i="5"/>
  <c r="Y40" i="5"/>
  <c r="W40" i="5"/>
  <c r="U40" i="5"/>
  <c r="R40" i="5"/>
  <c r="H40" i="5"/>
  <c r="I40" i="5" s="1"/>
  <c r="S40" i="5" s="1"/>
  <c r="A40" i="5"/>
  <c r="AJ39" i="5"/>
  <c r="AC39" i="5"/>
  <c r="AB39" i="5"/>
  <c r="AA39" i="5"/>
  <c r="Z39" i="5"/>
  <c r="Y39" i="5"/>
  <c r="W39" i="5"/>
  <c r="U39" i="5"/>
  <c r="R39" i="5"/>
  <c r="H39" i="5"/>
  <c r="I39" i="5" s="1"/>
  <c r="S39" i="5" s="1"/>
  <c r="A39" i="5"/>
  <c r="AJ38" i="5"/>
  <c r="AC38" i="5"/>
  <c r="AB38" i="5"/>
  <c r="AA38" i="5"/>
  <c r="Z38" i="5"/>
  <c r="Y38" i="5"/>
  <c r="W38" i="5"/>
  <c r="U38" i="5"/>
  <c r="R38" i="5"/>
  <c r="H38" i="5"/>
  <c r="I38" i="5" s="1"/>
  <c r="S38" i="5" s="1"/>
  <c r="A38" i="5"/>
  <c r="AJ37" i="5"/>
  <c r="AC37" i="5"/>
  <c r="AB37" i="5"/>
  <c r="AA37" i="5"/>
  <c r="Z37" i="5"/>
  <c r="Y37" i="5"/>
  <c r="W37" i="5"/>
  <c r="U37" i="5"/>
  <c r="R37" i="5"/>
  <c r="H37" i="5"/>
  <c r="I37" i="5" s="1"/>
  <c r="S37" i="5" s="1"/>
  <c r="A37" i="5"/>
  <c r="AJ36" i="5"/>
  <c r="AC36" i="5"/>
  <c r="AB36" i="5"/>
  <c r="AA36" i="5"/>
  <c r="Z36" i="5"/>
  <c r="Y36" i="5"/>
  <c r="W36" i="5"/>
  <c r="U36" i="5"/>
  <c r="R36" i="5"/>
  <c r="I36" i="5"/>
  <c r="S36" i="5" s="1"/>
  <c r="H36" i="5"/>
  <c r="A36" i="5"/>
  <c r="AJ35" i="5"/>
  <c r="AC35" i="5"/>
  <c r="AB35" i="5"/>
  <c r="AA35" i="5"/>
  <c r="Z35" i="5"/>
  <c r="Y35" i="5"/>
  <c r="W35" i="5"/>
  <c r="U35" i="5"/>
  <c r="T35" i="5"/>
  <c r="R35" i="5"/>
  <c r="I35" i="5"/>
  <c r="S35" i="5" s="1"/>
  <c r="H35" i="5"/>
  <c r="A35" i="5"/>
  <c r="AJ34" i="5"/>
  <c r="AC34" i="5"/>
  <c r="AB34" i="5"/>
  <c r="AA34" i="5"/>
  <c r="Z34" i="5"/>
  <c r="Y34" i="5"/>
  <c r="W34" i="5"/>
  <c r="U34" i="5"/>
  <c r="S34" i="5"/>
  <c r="R34" i="5"/>
  <c r="I34" i="5"/>
  <c r="H34" i="5"/>
  <c r="A34" i="5"/>
  <c r="AJ33" i="5"/>
  <c r="AC33" i="5"/>
  <c r="AB33" i="5"/>
  <c r="AA33" i="5"/>
  <c r="Z33" i="5"/>
  <c r="Y33" i="5"/>
  <c r="W33" i="5"/>
  <c r="U33" i="5"/>
  <c r="T33" i="5"/>
  <c r="R33" i="5"/>
  <c r="H33" i="5"/>
  <c r="I33" i="5" s="1"/>
  <c r="S33" i="5" s="1"/>
  <c r="A33" i="5"/>
  <c r="AJ32" i="5"/>
  <c r="AC32" i="5"/>
  <c r="AB32" i="5"/>
  <c r="AA32" i="5"/>
  <c r="Z32" i="5"/>
  <c r="Y32" i="5"/>
  <c r="W32" i="5"/>
  <c r="U32" i="5"/>
  <c r="R32" i="5"/>
  <c r="H32" i="5"/>
  <c r="I32" i="5" s="1"/>
  <c r="S32" i="5" s="1"/>
  <c r="A32" i="5"/>
  <c r="AJ31" i="5"/>
  <c r="AC31" i="5"/>
  <c r="AB31" i="5"/>
  <c r="AA31" i="5"/>
  <c r="Z31" i="5"/>
  <c r="Y31" i="5"/>
  <c r="W31" i="5"/>
  <c r="U31" i="5"/>
  <c r="R31" i="5"/>
  <c r="H31" i="5"/>
  <c r="I31" i="5" s="1"/>
  <c r="S31" i="5" s="1"/>
  <c r="A31" i="5"/>
  <c r="AJ30" i="5"/>
  <c r="AC30" i="5"/>
  <c r="AB30" i="5"/>
  <c r="AA30" i="5"/>
  <c r="Z30" i="5"/>
  <c r="Y30" i="5"/>
  <c r="W30" i="5"/>
  <c r="U30" i="5"/>
  <c r="R30" i="5"/>
  <c r="I30" i="5"/>
  <c r="S30" i="5" s="1"/>
  <c r="H30" i="5"/>
  <c r="A30" i="5"/>
  <c r="AJ29" i="5"/>
  <c r="AC29" i="5"/>
  <c r="AB29" i="5"/>
  <c r="AA29" i="5"/>
  <c r="Z29" i="5"/>
  <c r="Y29" i="5"/>
  <c r="W29" i="5"/>
  <c r="U29" i="5"/>
  <c r="R29" i="5"/>
  <c r="H29" i="5"/>
  <c r="I29" i="5" s="1"/>
  <c r="S29" i="5" s="1"/>
  <c r="A29" i="5"/>
  <c r="AJ28" i="5"/>
  <c r="AC28" i="5"/>
  <c r="AB28" i="5"/>
  <c r="AA28" i="5"/>
  <c r="Z28" i="5"/>
  <c r="Y28" i="5"/>
  <c r="W28" i="5"/>
  <c r="U28" i="5"/>
  <c r="R28" i="5"/>
  <c r="H28" i="5"/>
  <c r="I28" i="5" s="1"/>
  <c r="S28" i="5" s="1"/>
  <c r="A28" i="5"/>
  <c r="AJ27" i="5"/>
  <c r="AC27" i="5"/>
  <c r="AB27" i="5"/>
  <c r="AA27" i="5"/>
  <c r="Z27" i="5"/>
  <c r="Y27" i="5"/>
  <c r="W27" i="5"/>
  <c r="U27" i="5"/>
  <c r="H27" i="5"/>
  <c r="I27" i="5" s="1"/>
  <c r="A27" i="5"/>
  <c r="AJ26" i="5"/>
  <c r="AC26" i="5"/>
  <c r="AB26" i="5"/>
  <c r="AA26" i="5"/>
  <c r="Z26" i="5"/>
  <c r="Y26" i="5"/>
  <c r="W26" i="5"/>
  <c r="U26" i="5"/>
  <c r="I26" i="5"/>
  <c r="H26" i="5"/>
  <c r="A26" i="5"/>
  <c r="AJ25" i="5"/>
  <c r="AC25" i="5"/>
  <c r="AB25" i="5"/>
  <c r="AA25" i="5"/>
  <c r="Z25" i="5"/>
  <c r="Y25" i="5"/>
  <c r="W25" i="5"/>
  <c r="U25" i="5"/>
  <c r="I25" i="5"/>
  <c r="H25" i="5"/>
  <c r="A25" i="5"/>
  <c r="AJ24" i="5"/>
  <c r="AC24" i="5"/>
  <c r="AB24" i="5"/>
  <c r="AA24" i="5"/>
  <c r="Z24" i="5"/>
  <c r="Y24" i="5"/>
  <c r="W24" i="5"/>
  <c r="U24" i="5"/>
  <c r="H24" i="5"/>
  <c r="I24" i="5" s="1"/>
  <c r="A24" i="5"/>
  <c r="AJ23" i="5"/>
  <c r="AC23" i="5"/>
  <c r="AB23" i="5"/>
  <c r="AA23" i="5"/>
  <c r="Z23" i="5"/>
  <c r="Y23" i="5"/>
  <c r="W23" i="5"/>
  <c r="U23" i="5"/>
  <c r="H23" i="5"/>
  <c r="I23" i="5" s="1"/>
  <c r="A23" i="5"/>
  <c r="AJ22" i="5"/>
  <c r="AC22" i="5"/>
  <c r="AB22" i="5"/>
  <c r="AA22" i="5"/>
  <c r="Z22" i="5"/>
  <c r="Y22" i="5"/>
  <c r="W22" i="5"/>
  <c r="U22" i="5"/>
  <c r="I22" i="5"/>
  <c r="H22" i="5"/>
  <c r="A22" i="5"/>
  <c r="AJ21" i="5"/>
  <c r="AC21" i="5"/>
  <c r="AB21" i="5"/>
  <c r="AA21" i="5"/>
  <c r="Z21" i="5"/>
  <c r="Y21" i="5"/>
  <c r="W21" i="5"/>
  <c r="U21" i="5"/>
  <c r="H21" i="5"/>
  <c r="I21" i="5" s="1"/>
  <c r="A21" i="5"/>
  <c r="AJ20" i="5"/>
  <c r="AC20" i="5"/>
  <c r="AB20" i="5"/>
  <c r="AA20" i="5"/>
  <c r="Z20" i="5"/>
  <c r="Y20" i="5"/>
  <c r="W20" i="5"/>
  <c r="U20" i="5"/>
  <c r="H20" i="5"/>
  <c r="I20" i="5" s="1"/>
  <c r="A20" i="5"/>
  <c r="AJ19" i="5"/>
  <c r="AC19" i="5"/>
  <c r="AB19" i="5"/>
  <c r="AA19" i="5"/>
  <c r="Z19" i="5"/>
  <c r="Y19" i="5"/>
  <c r="W19" i="5"/>
  <c r="U19" i="5"/>
  <c r="I19" i="5"/>
  <c r="H19" i="5"/>
  <c r="A19" i="5"/>
  <c r="AJ18" i="5"/>
  <c r="AC18" i="5"/>
  <c r="AB18" i="5"/>
  <c r="AA18" i="5"/>
  <c r="Z18" i="5"/>
  <c r="Y18" i="5"/>
  <c r="W18" i="5"/>
  <c r="U18" i="5"/>
  <c r="I18" i="5"/>
  <c r="H18" i="5"/>
  <c r="A18" i="5"/>
  <c r="AJ17" i="5"/>
  <c r="AC17" i="5"/>
  <c r="AB17" i="5"/>
  <c r="AA17" i="5"/>
  <c r="Z17" i="5"/>
  <c r="Y17" i="5"/>
  <c r="W17" i="5"/>
  <c r="U17" i="5"/>
  <c r="H17" i="5"/>
  <c r="I17" i="5" s="1"/>
  <c r="A17" i="5"/>
  <c r="AJ16" i="5"/>
  <c r="AC16" i="5"/>
  <c r="AB16" i="5"/>
  <c r="AA16" i="5"/>
  <c r="Z16" i="5"/>
  <c r="Y16" i="5"/>
  <c r="W16" i="5"/>
  <c r="U16" i="5"/>
  <c r="H16" i="5"/>
  <c r="I16" i="5" s="1"/>
  <c r="A16" i="5"/>
  <c r="AJ15" i="5"/>
  <c r="AC15" i="5"/>
  <c r="AB15" i="5"/>
  <c r="AA15" i="5"/>
  <c r="Z15" i="5"/>
  <c r="Y15" i="5"/>
  <c r="W15" i="5"/>
  <c r="U15" i="5"/>
  <c r="H15" i="5"/>
  <c r="I15" i="5" s="1"/>
  <c r="A15" i="5"/>
  <c r="AJ14" i="5"/>
  <c r="AC14" i="5"/>
  <c r="AB14" i="5"/>
  <c r="AA14" i="5"/>
  <c r="Z14" i="5"/>
  <c r="Y14" i="5"/>
  <c r="W14" i="5"/>
  <c r="U14" i="5"/>
  <c r="H14" i="5"/>
  <c r="I14" i="5" s="1"/>
  <c r="A14" i="5"/>
  <c r="AJ13" i="5"/>
  <c r="AC13" i="5"/>
  <c r="AB13" i="5"/>
  <c r="AA13" i="5"/>
  <c r="Z13" i="5"/>
  <c r="Y13" i="5"/>
  <c r="W13" i="5"/>
  <c r="U13" i="5"/>
  <c r="R13" i="5"/>
  <c r="H13" i="5"/>
  <c r="I13" i="5" s="1"/>
  <c r="S13" i="5" s="1"/>
  <c r="A13" i="5"/>
  <c r="AJ12" i="5"/>
  <c r="AC12" i="5"/>
  <c r="AB12" i="5"/>
  <c r="AA12" i="5"/>
  <c r="Z12" i="5"/>
  <c r="Y12" i="5"/>
  <c r="W12" i="5"/>
  <c r="U12" i="5"/>
  <c r="R12" i="5"/>
  <c r="I12" i="5"/>
  <c r="S12" i="5" s="1"/>
  <c r="H12" i="5"/>
  <c r="A12" i="5"/>
  <c r="AJ11" i="5"/>
  <c r="AB11" i="5"/>
  <c r="AA11" i="5"/>
  <c r="Z11" i="5"/>
  <c r="Y11" i="5"/>
  <c r="W11" i="5"/>
  <c r="U11" i="5"/>
  <c r="R11" i="5"/>
  <c r="H11" i="5"/>
  <c r="I11" i="5" s="1"/>
  <c r="S11" i="5" s="1"/>
  <c r="A11" i="5"/>
  <c r="AJ10" i="5"/>
  <c r="AC10" i="5"/>
  <c r="AB10" i="5"/>
  <c r="AA10" i="5"/>
  <c r="Z10" i="5"/>
  <c r="Y10" i="5"/>
  <c r="W10" i="5"/>
  <c r="U10" i="5"/>
  <c r="T10" i="5"/>
  <c r="R10" i="5"/>
  <c r="I10" i="5"/>
  <c r="S10" i="5" s="1"/>
  <c r="H10" i="5"/>
  <c r="A10" i="5"/>
  <c r="AJ9" i="5"/>
  <c r="AC9" i="5"/>
  <c r="AB9" i="5"/>
  <c r="AA9" i="5"/>
  <c r="Z9" i="5"/>
  <c r="Y9" i="5"/>
  <c r="W9" i="5"/>
  <c r="U9" i="5"/>
  <c r="R9" i="5"/>
  <c r="H9" i="5"/>
  <c r="I9" i="5" s="1"/>
  <c r="S9" i="5" s="1"/>
  <c r="A9" i="5"/>
  <c r="AJ8" i="5"/>
  <c r="AC8" i="5"/>
  <c r="AB8" i="5"/>
  <c r="AA8" i="5"/>
  <c r="Z8" i="5"/>
  <c r="Y8" i="5"/>
  <c r="W8" i="5"/>
  <c r="U8" i="5"/>
  <c r="T8" i="5"/>
  <c r="R8" i="5"/>
  <c r="H8" i="5"/>
  <c r="I8" i="5" s="1"/>
  <c r="S8" i="5" s="1"/>
  <c r="A8" i="5"/>
  <c r="AJ7" i="5"/>
  <c r="AC7" i="5"/>
  <c r="AC59" i="5" s="1"/>
  <c r="AB7" i="5"/>
  <c r="AA7" i="5"/>
  <c r="Z7" i="5"/>
  <c r="Y7" i="5"/>
  <c r="Y59" i="5" s="1"/>
  <c r="W7" i="5"/>
  <c r="U7" i="5"/>
  <c r="T7" i="5"/>
  <c r="R7" i="5"/>
  <c r="H7" i="5"/>
  <c r="I7" i="5" s="1"/>
  <c r="A7" i="5"/>
  <c r="J4" i="5"/>
  <c r="U59" i="5" l="1"/>
  <c r="Z59" i="5"/>
  <c r="W59" i="5"/>
  <c r="R62" i="5"/>
  <c r="S55" i="5"/>
  <c r="AA59" i="5"/>
  <c r="U55" i="5"/>
  <c r="V61" i="5"/>
  <c r="V66" i="5" s="1"/>
  <c r="AB59" i="5"/>
  <c r="S56" i="5"/>
  <c r="AJ59" i="5"/>
  <c r="S54" i="5"/>
  <c r="BK79" i="4"/>
  <c r="BH79" i="4"/>
  <c r="BL14" i="4"/>
  <c r="BL78" i="4"/>
  <c r="F89" i="4" s="1"/>
  <c r="K89" i="4" s="1"/>
  <c r="BA79" i="4"/>
  <c r="F84" i="4"/>
  <c r="AW79" i="4"/>
  <c r="F87" i="4"/>
  <c r="K87" i="4" s="1"/>
  <c r="AY79" i="4"/>
  <c r="S7" i="5"/>
  <c r="I59" i="5"/>
  <c r="H59" i="5"/>
  <c r="T9" i="5"/>
  <c r="T34" i="5"/>
  <c r="V40" i="5"/>
  <c r="T42" i="5"/>
  <c r="T50" i="5"/>
  <c r="T62" i="5"/>
  <c r="T12" i="5"/>
  <c r="T28" i="5"/>
  <c r="V34" i="5"/>
  <c r="T36" i="5"/>
  <c r="T44" i="5"/>
  <c r="T52" i="5"/>
  <c r="T11" i="5"/>
  <c r="V10" i="5"/>
  <c r="AE10" i="5" s="1"/>
  <c r="AK10" i="5" s="1"/>
  <c r="T13" i="5"/>
  <c r="T29" i="5"/>
  <c r="T37" i="5"/>
  <c r="T45" i="5"/>
  <c r="T53" i="5"/>
  <c r="T30" i="5"/>
  <c r="T38" i="5"/>
  <c r="T46" i="5"/>
  <c r="AE46" i="5" s="1"/>
  <c r="AK46" i="5" s="1"/>
  <c r="T54" i="5"/>
  <c r="S66" i="5"/>
  <c r="T31" i="5"/>
  <c r="T39" i="5"/>
  <c r="T47" i="5"/>
  <c r="T55" i="5"/>
  <c r="T32" i="5"/>
  <c r="T40" i="5"/>
  <c r="AE40" i="5" s="1"/>
  <c r="AK40" i="5" s="1"/>
  <c r="V46" i="5"/>
  <c r="T48" i="5"/>
  <c r="AE55" i="5" l="1"/>
  <c r="AK55" i="5" s="1"/>
  <c r="AE54" i="5"/>
  <c r="AK54" i="5" s="1"/>
  <c r="V12" i="5"/>
  <c r="AE29" i="5"/>
  <c r="AK29" i="5" s="1"/>
  <c r="V42" i="5"/>
  <c r="V48" i="5"/>
  <c r="AE48" i="5" s="1"/>
  <c r="AK48" i="5" s="1"/>
  <c r="V45" i="5"/>
  <c r="AE45" i="5" s="1"/>
  <c r="AK45" i="5" s="1"/>
  <c r="V52" i="5"/>
  <c r="V11" i="5"/>
  <c r="AE11" i="5" s="1"/>
  <c r="AK11" i="5" s="1"/>
  <c r="AE13" i="5"/>
  <c r="AK13" i="5" s="1"/>
  <c r="AE42" i="5"/>
  <c r="AK42" i="5" s="1"/>
  <c r="V62" i="5"/>
  <c r="R58" i="5"/>
  <c r="R26" i="5"/>
  <c r="R24" i="5"/>
  <c r="R15" i="5"/>
  <c r="R21" i="5"/>
  <c r="R17" i="5"/>
  <c r="R27" i="5"/>
  <c r="R23" i="5"/>
  <c r="R14" i="5"/>
  <c r="R20" i="5"/>
  <c r="U62" i="5"/>
  <c r="R25" i="5"/>
  <c r="R16" i="5"/>
  <c r="S62" i="5"/>
  <c r="R22" i="5"/>
  <c r="R18" i="5"/>
  <c r="R19" i="5"/>
  <c r="V38" i="5"/>
  <c r="AE38" i="5"/>
  <c r="AK38" i="5" s="1"/>
  <c r="AE12" i="5"/>
  <c r="AK12" i="5" s="1"/>
  <c r="V32" i="5"/>
  <c r="AE32" i="5" s="1"/>
  <c r="AK32" i="5" s="1"/>
  <c r="V51" i="5"/>
  <c r="AE51" i="5" s="1"/>
  <c r="AK51" i="5" s="1"/>
  <c r="V30" i="5"/>
  <c r="AE30" i="5" s="1"/>
  <c r="AK30" i="5" s="1"/>
  <c r="V43" i="5"/>
  <c r="AE43" i="5" s="1"/>
  <c r="AK43" i="5" s="1"/>
  <c r="V44" i="5"/>
  <c r="AE44" i="5" s="1"/>
  <c r="AK44" i="5" s="1"/>
  <c r="AE34" i="5"/>
  <c r="AK34" i="5" s="1"/>
  <c r="AE31" i="5"/>
  <c r="AK31" i="5" s="1"/>
  <c r="V9" i="5"/>
  <c r="V36" i="5"/>
  <c r="AE36" i="5" s="1"/>
  <c r="AK36" i="5" s="1"/>
  <c r="V50" i="5"/>
  <c r="AE50" i="5" s="1"/>
  <c r="AK50" i="5" s="1"/>
  <c r="V7" i="5"/>
  <c r="V54" i="5"/>
  <c r="V39" i="5"/>
  <c r="AE39" i="5" s="1"/>
  <c r="AK39" i="5" s="1"/>
  <c r="V33" i="5"/>
  <c r="AE33" i="5" s="1"/>
  <c r="AK33" i="5" s="1"/>
  <c r="V57" i="5"/>
  <c r="AE57" i="5" s="1"/>
  <c r="AK57" i="5" s="1"/>
  <c r="V55" i="5"/>
  <c r="V8" i="5"/>
  <c r="AE8" i="5" s="1"/>
  <c r="AK8" i="5" s="1"/>
  <c r="V47" i="5"/>
  <c r="AE47" i="5" s="1"/>
  <c r="AK47" i="5" s="1"/>
  <c r="V49" i="5"/>
  <c r="AE49" i="5" s="1"/>
  <c r="AK49" i="5" s="1"/>
  <c r="V31" i="5"/>
  <c r="V41" i="5"/>
  <c r="AE41" i="5" s="1"/>
  <c r="AK41" i="5" s="1"/>
  <c r="V37" i="5"/>
  <c r="AE37" i="5" s="1"/>
  <c r="AK37" i="5" s="1"/>
  <c r="AE28" i="5"/>
  <c r="AK28" i="5" s="1"/>
  <c r="V29" i="5"/>
  <c r="AE52" i="5"/>
  <c r="AK52" i="5" s="1"/>
  <c r="V13" i="5"/>
  <c r="V56" i="5"/>
  <c r="AE56" i="5" s="1"/>
  <c r="AK56" i="5" s="1"/>
  <c r="V53" i="5"/>
  <c r="AE53" i="5" s="1"/>
  <c r="AK53" i="5" s="1"/>
  <c r="V28" i="5"/>
  <c r="V35" i="5"/>
  <c r="AE35" i="5" s="1"/>
  <c r="AK35" i="5" s="1"/>
  <c r="BL79" i="4"/>
  <c r="K84" i="4"/>
  <c r="F86" i="4"/>
  <c r="AE7" i="5"/>
  <c r="T24" i="5"/>
  <c r="T16" i="5"/>
  <c r="T25" i="5"/>
  <c r="T23" i="5"/>
  <c r="T15" i="5"/>
  <c r="T19" i="5"/>
  <c r="T17" i="5"/>
  <c r="T22" i="5"/>
  <c r="T14" i="5"/>
  <c r="T21" i="5"/>
  <c r="T27" i="5"/>
  <c r="T20" i="5"/>
  <c r="T58" i="5"/>
  <c r="T26" i="5"/>
  <c r="T18" i="5"/>
  <c r="V17" i="5" l="1"/>
  <c r="V24" i="5"/>
  <c r="V14" i="5"/>
  <c r="V59" i="5" s="1"/>
  <c r="V26" i="5"/>
  <c r="AE26" i="5" s="1"/>
  <c r="AK26" i="5" s="1"/>
  <c r="V27" i="5"/>
  <c r="AE27" i="5" s="1"/>
  <c r="AK27" i="5" s="1"/>
  <c r="V16" i="5"/>
  <c r="V19" i="5"/>
  <c r="V22" i="5"/>
  <c r="V15" i="5"/>
  <c r="V58" i="5"/>
  <c r="AE58" i="5" s="1"/>
  <c r="AK58" i="5" s="1"/>
  <c r="V21" i="5"/>
  <c r="AE21" i="5" s="1"/>
  <c r="AK21" i="5" s="1"/>
  <c r="V25" i="5"/>
  <c r="V18" i="5"/>
  <c r="V20" i="5"/>
  <c r="V23" i="5"/>
  <c r="AE19" i="5"/>
  <c r="AK19" i="5" s="1"/>
  <c r="AE9" i="5"/>
  <c r="AK9" i="5" s="1"/>
  <c r="AE16" i="5"/>
  <c r="AK16" i="5" s="1"/>
  <c r="S25" i="5"/>
  <c r="AE25" i="5" s="1"/>
  <c r="AK25" i="5" s="1"/>
  <c r="S18" i="5"/>
  <c r="AE18" i="5" s="1"/>
  <c r="AK18" i="5" s="1"/>
  <c r="S26" i="5"/>
  <c r="S23" i="5"/>
  <c r="S19" i="5"/>
  <c r="S24" i="5"/>
  <c r="S27" i="5"/>
  <c r="S20" i="5"/>
  <c r="AE20" i="5" s="1"/>
  <c r="AK20" i="5" s="1"/>
  <c r="S17" i="5"/>
  <c r="AE17" i="5" s="1"/>
  <c r="AK17" i="5" s="1"/>
  <c r="S15" i="5"/>
  <c r="AE15" i="5" s="1"/>
  <c r="AK15" i="5" s="1"/>
  <c r="S14" i="5"/>
  <c r="S21" i="5"/>
  <c r="S58" i="5"/>
  <c r="S16" i="5"/>
  <c r="S22" i="5"/>
  <c r="AE22" i="5" s="1"/>
  <c r="AK22" i="5" s="1"/>
  <c r="AE24" i="5"/>
  <c r="AK24" i="5" s="1"/>
  <c r="AE23" i="5"/>
  <c r="AK23" i="5" s="1"/>
  <c r="R59" i="5"/>
  <c r="K86" i="4"/>
  <c r="K90" i="4" s="1"/>
  <c r="F90" i="4"/>
  <c r="AK7" i="5"/>
  <c r="T59" i="5"/>
  <c r="AE14" i="5" l="1"/>
  <c r="AK14" i="5" s="1"/>
  <c r="AK59" i="5" s="1"/>
  <c r="AE59" i="5"/>
  <c r="S59" i="5"/>
  <c r="AI66" i="3" a="1"/>
  <c r="AI66" i="3" s="1"/>
  <c r="AH66" i="3" a="1"/>
  <c r="AH66" i="3" s="1"/>
  <c r="AG66" i="3" a="1"/>
  <c r="AG66" i="3" s="1"/>
  <c r="AF66" i="3" a="1"/>
  <c r="AF66" i="3" s="1"/>
  <c r="AE66" i="3" a="1"/>
  <c r="AE66" i="3" s="1"/>
  <c r="AD66" i="3" a="1"/>
  <c r="AD66" i="3" s="1"/>
  <c r="AC66" i="3" a="1"/>
  <c r="AC66" i="3" s="1"/>
  <c r="AB66" i="3" a="1"/>
  <c r="AB66" i="3" s="1"/>
  <c r="AA66" i="3" a="1"/>
  <c r="AA66" i="3" s="1"/>
  <c r="Z66" i="3" a="1"/>
  <c r="Z66" i="3" s="1"/>
  <c r="Y66" i="3" a="1"/>
  <c r="Y66" i="3" s="1"/>
  <c r="X66" i="3" a="1"/>
  <c r="X66" i="3" s="1"/>
  <c r="W66" i="3" a="1"/>
  <c r="W66" i="3" s="1"/>
  <c r="V66" i="3" a="1"/>
  <c r="V66" i="3" s="1"/>
  <c r="U66" i="3" a="1"/>
  <c r="U66" i="3" s="1"/>
  <c r="T66" i="3" a="1"/>
  <c r="T66" i="3" s="1"/>
  <c r="S66" i="3" a="1"/>
  <c r="S66" i="3" s="1"/>
  <c r="R66" i="3" a="1"/>
  <c r="R66" i="3" s="1"/>
  <c r="Q66" i="3" a="1"/>
  <c r="Q66" i="3" s="1"/>
  <c r="P66" i="3" a="1"/>
  <c r="P66" i="3" s="1"/>
  <c r="O66" i="3" a="1"/>
  <c r="O66" i="3" s="1"/>
  <c r="N66" i="3" a="1"/>
  <c r="N66" i="3" s="1"/>
  <c r="M66" i="3" a="1"/>
  <c r="M66" i="3" s="1"/>
  <c r="L66" i="3" a="1"/>
  <c r="L66" i="3" s="1"/>
  <c r="K66" i="3" a="1"/>
  <c r="K66" i="3" s="1"/>
  <c r="J66" i="3" a="1"/>
  <c r="J66" i="3" s="1"/>
  <c r="I66" i="3" a="1"/>
  <c r="I66" i="3" s="1"/>
  <c r="H66" i="3" a="1"/>
  <c r="H66" i="3" s="1"/>
  <c r="G66" i="3" a="1"/>
  <c r="G66" i="3" s="1"/>
  <c r="F66" i="3" a="1"/>
  <c r="F66" i="3" s="1"/>
  <c r="E66" i="3" a="1"/>
  <c r="E66" i="3" s="1"/>
  <c r="AI65" i="3" a="1"/>
  <c r="AI65" i="3" s="1"/>
  <c r="AH65" i="3" a="1"/>
  <c r="AH65" i="3" s="1"/>
  <c r="AG65" i="3" a="1"/>
  <c r="AG65" i="3"/>
  <c r="AF65" i="3" a="1"/>
  <c r="AF65" i="3" s="1"/>
  <c r="AE65" i="3" a="1"/>
  <c r="AE65" i="3" s="1"/>
  <c r="AD65" i="3" a="1"/>
  <c r="AD65" i="3"/>
  <c r="AC65" i="3" a="1"/>
  <c r="AC65" i="3" s="1"/>
  <c r="AB65" i="3" a="1"/>
  <c r="AB65" i="3" s="1"/>
  <c r="AA65" i="3" a="1"/>
  <c r="AA65" i="3" s="1"/>
  <c r="Z65" i="3" a="1"/>
  <c r="Z65" i="3"/>
  <c r="Y65" i="3" a="1"/>
  <c r="Y65" i="3" s="1"/>
  <c r="X65" i="3" a="1"/>
  <c r="X65" i="3" s="1"/>
  <c r="W65" i="3" a="1"/>
  <c r="W65" i="3"/>
  <c r="V65" i="3" a="1"/>
  <c r="V65" i="3" s="1"/>
  <c r="U65" i="3" a="1"/>
  <c r="U65" i="3" s="1"/>
  <c r="T65" i="3" a="1"/>
  <c r="T65" i="3"/>
  <c r="S65" i="3" a="1"/>
  <c r="S65" i="3" s="1"/>
  <c r="R65" i="3" a="1"/>
  <c r="R65" i="3" s="1"/>
  <c r="Q65" i="3" a="1"/>
  <c r="Q65" i="3" s="1"/>
  <c r="P65" i="3" a="1"/>
  <c r="P65" i="3"/>
  <c r="O65" i="3" a="1"/>
  <c r="O65" i="3" s="1"/>
  <c r="N65" i="3" a="1"/>
  <c r="N65" i="3" s="1"/>
  <c r="M65" i="3" a="1"/>
  <c r="M65" i="3"/>
  <c r="L65" i="3" a="1"/>
  <c r="L65" i="3" s="1"/>
  <c r="K65" i="3" a="1"/>
  <c r="K65" i="3" s="1"/>
  <c r="J65" i="3" a="1"/>
  <c r="J65" i="3"/>
  <c r="I65" i="3" a="1"/>
  <c r="I65" i="3" s="1"/>
  <c r="H65" i="3" a="1"/>
  <c r="H65" i="3" s="1"/>
  <c r="G65" i="3" a="1"/>
  <c r="G65" i="3" s="1"/>
  <c r="F65" i="3" a="1"/>
  <c r="F65" i="3"/>
  <c r="E65" i="3" a="1"/>
  <c r="E65" i="3" s="1"/>
  <c r="AI63" i="3" a="1"/>
  <c r="AI63" i="3" s="1"/>
  <c r="AH63" i="3" a="1"/>
  <c r="AH63" i="3"/>
  <c r="AG63" i="3" a="1"/>
  <c r="AG63" i="3"/>
  <c r="AF63" i="3" a="1"/>
  <c r="AF63" i="3"/>
  <c r="AE63" i="3" a="1"/>
  <c r="AE63" i="3"/>
  <c r="AD63" i="3" a="1"/>
  <c r="AD63" i="3" s="1"/>
  <c r="AC63" i="3" a="1"/>
  <c r="AC63" i="3"/>
  <c r="AB63" i="3" a="1"/>
  <c r="AB63" i="3"/>
  <c r="AA63" i="3" a="1"/>
  <c r="AA63" i="3" s="1"/>
  <c r="Z63" i="3" a="1"/>
  <c r="Z63" i="3"/>
  <c r="Y63" i="3" a="1"/>
  <c r="Y63" i="3" s="1"/>
  <c r="X63" i="3" a="1"/>
  <c r="X63" i="3"/>
  <c r="W63" i="3" a="1"/>
  <c r="W63" i="3"/>
  <c r="V63" i="3" a="1"/>
  <c r="V63" i="3"/>
  <c r="U63" i="3" a="1"/>
  <c r="U63" i="3"/>
  <c r="T63" i="3" a="1"/>
  <c r="T63" i="3"/>
  <c r="S63" i="3" a="1"/>
  <c r="S63" i="3"/>
  <c r="R63" i="3" a="1"/>
  <c r="R63" i="3"/>
  <c r="Q63" i="3" a="1"/>
  <c r="Q63" i="3" s="1"/>
  <c r="P63" i="3" a="1"/>
  <c r="P63" i="3"/>
  <c r="O63" i="3" a="1"/>
  <c r="O63" i="3" s="1"/>
  <c r="N63" i="3" a="1"/>
  <c r="N63" i="3"/>
  <c r="M63" i="3" a="1"/>
  <c r="M63" i="3"/>
  <c r="L63" i="3" a="1"/>
  <c r="L63" i="3"/>
  <c r="K63" i="3" a="1"/>
  <c r="K63" i="3"/>
  <c r="J63" i="3" a="1"/>
  <c r="J63" i="3"/>
  <c r="I63" i="3" a="1"/>
  <c r="I63" i="3"/>
  <c r="H63" i="3" a="1"/>
  <c r="H63" i="3"/>
  <c r="G63" i="3" a="1"/>
  <c r="G63" i="3" s="1"/>
  <c r="F63" i="3" a="1"/>
  <c r="F63" i="3"/>
  <c r="E63" i="3" a="1"/>
  <c r="E63" i="3" s="1"/>
  <c r="AI61" i="3" a="1"/>
  <c r="AI61" i="3" s="1"/>
  <c r="AH61" i="3" a="1"/>
  <c r="AH61" i="3" s="1"/>
  <c r="AG61" i="3" a="1"/>
  <c r="AG61" i="3" s="1"/>
  <c r="AF61" i="3" a="1"/>
  <c r="AF61" i="3" s="1"/>
  <c r="AE61" i="3" a="1"/>
  <c r="AE61" i="3"/>
  <c r="AD61" i="3" a="1"/>
  <c r="AD61" i="3" s="1"/>
  <c r="AC61" i="3" a="1"/>
  <c r="AC61" i="3" s="1"/>
  <c r="AB61" i="3" a="1"/>
  <c r="AB61" i="3"/>
  <c r="AB62" i="3" s="1"/>
  <c r="AA61" i="3" a="1"/>
  <c r="AA61" i="3" s="1"/>
  <c r="Z61" i="3" a="1"/>
  <c r="Z61" i="3" s="1"/>
  <c r="Y61" i="3" a="1"/>
  <c r="Y61" i="3" s="1"/>
  <c r="X61" i="3" a="1"/>
  <c r="X61" i="3" s="1"/>
  <c r="W61" i="3" a="1"/>
  <c r="W61" i="3" s="1"/>
  <c r="V61" i="3" a="1"/>
  <c r="V61" i="3" s="1"/>
  <c r="U61" i="3" a="1"/>
  <c r="U61" i="3"/>
  <c r="T61" i="3" a="1"/>
  <c r="T61" i="3" s="1"/>
  <c r="S61" i="3" a="1"/>
  <c r="S61" i="3" s="1"/>
  <c r="R61" i="3" a="1"/>
  <c r="R61" i="3"/>
  <c r="Q61" i="3" a="1"/>
  <c r="Q61" i="3" s="1"/>
  <c r="P61" i="3" a="1"/>
  <c r="P61" i="3" s="1"/>
  <c r="O61" i="3" a="1"/>
  <c r="O61" i="3"/>
  <c r="N61" i="3" a="1"/>
  <c r="N61" i="3" s="1"/>
  <c r="M61" i="3" a="1"/>
  <c r="M61" i="3" s="1"/>
  <c r="L61" i="3" a="1"/>
  <c r="L61" i="3" s="1"/>
  <c r="K61" i="3" a="1"/>
  <c r="K61" i="3"/>
  <c r="J61" i="3" a="1"/>
  <c r="J61" i="3" s="1"/>
  <c r="I61" i="3" a="1"/>
  <c r="I61" i="3" s="1"/>
  <c r="H61" i="3" a="1"/>
  <c r="H61" i="3"/>
  <c r="G61" i="3" a="1"/>
  <c r="G61" i="3" s="1"/>
  <c r="F61" i="3" a="1"/>
  <c r="F61" i="3" s="1"/>
  <c r="E61" i="3" a="1"/>
  <c r="E61" i="3"/>
  <c r="AI60" i="3" a="1"/>
  <c r="AI60" i="3"/>
  <c r="AH60" i="3" a="1"/>
  <c r="AH60" i="3" s="1"/>
  <c r="AG60" i="3" a="1"/>
  <c r="AG60" i="3"/>
  <c r="AF60" i="3" a="1"/>
  <c r="AF60" i="3"/>
  <c r="AE60" i="3" a="1"/>
  <c r="AE60" i="3"/>
  <c r="AD60" i="3" a="1"/>
  <c r="AD60" i="3"/>
  <c r="AC60" i="3" a="1"/>
  <c r="AC60" i="3" s="1"/>
  <c r="AB60" i="3" a="1"/>
  <c r="AB60" i="3"/>
  <c r="AA60" i="3" a="1"/>
  <c r="AA60" i="3"/>
  <c r="Z60" i="3" a="1"/>
  <c r="Z60" i="3" s="1"/>
  <c r="Y60" i="3" a="1"/>
  <c r="Y60" i="3"/>
  <c r="X60" i="3" a="1"/>
  <c r="X60" i="3" s="1"/>
  <c r="W60" i="3" a="1"/>
  <c r="W60" i="3"/>
  <c r="V60" i="3" a="1"/>
  <c r="V60" i="3"/>
  <c r="V62" i="3" s="1"/>
  <c r="U60" i="3" a="1"/>
  <c r="U60" i="3"/>
  <c r="T60" i="3" a="1"/>
  <c r="T60" i="3"/>
  <c r="S60" i="3" a="1"/>
  <c r="S60" i="3" s="1"/>
  <c r="R60" i="3" a="1"/>
  <c r="R60" i="3"/>
  <c r="Q60" i="3" a="1"/>
  <c r="Q60" i="3"/>
  <c r="P60" i="3" a="1"/>
  <c r="P60" i="3" s="1"/>
  <c r="O60" i="3" a="1"/>
  <c r="O60" i="3"/>
  <c r="N60" i="3" a="1"/>
  <c r="N60" i="3" s="1"/>
  <c r="M60" i="3" a="1"/>
  <c r="M60" i="3"/>
  <c r="L60" i="3" a="1"/>
  <c r="L60" i="3"/>
  <c r="K60" i="3" a="1"/>
  <c r="K60" i="3"/>
  <c r="J60" i="3" a="1"/>
  <c r="J60" i="3"/>
  <c r="I60" i="3" a="1"/>
  <c r="I60" i="3"/>
  <c r="H60" i="3" a="1"/>
  <c r="H60" i="3"/>
  <c r="G60" i="3" a="1"/>
  <c r="G60" i="3"/>
  <c r="F60" i="3" a="1"/>
  <c r="F60" i="3" s="1"/>
  <c r="E60" i="3" a="1"/>
  <c r="E60" i="3"/>
  <c r="AI59" i="3" a="1"/>
  <c r="AI59" i="3" s="1"/>
  <c r="AH59" i="3" a="1"/>
  <c r="AH59" i="3"/>
  <c r="AG59" i="3" a="1"/>
  <c r="AG59" i="3" s="1"/>
  <c r="AG62" i="3" s="1"/>
  <c r="AF59" i="3" a="1"/>
  <c r="AF59" i="3" s="1"/>
  <c r="AE59" i="3" a="1"/>
  <c r="AE59" i="3"/>
  <c r="AE62" i="3" s="1"/>
  <c r="AD59" i="3" a="1"/>
  <c r="AD59" i="3" s="1"/>
  <c r="AD62" i="3" s="1"/>
  <c r="AC59" i="3" a="1"/>
  <c r="AC59" i="3" s="1"/>
  <c r="AB59" i="3" a="1"/>
  <c r="AB59" i="3"/>
  <c r="AA59" i="3" a="1"/>
  <c r="AA59" i="3" s="1"/>
  <c r="AA62" i="3" s="1"/>
  <c r="Z59" i="3" a="1"/>
  <c r="Z59" i="3" s="1"/>
  <c r="Z62" i="3" s="1"/>
  <c r="Y59" i="3" a="1"/>
  <c r="Y59" i="3" s="1"/>
  <c r="Y62" i="3" s="1"/>
  <c r="X59" i="3" a="1"/>
  <c r="X59" i="3"/>
  <c r="X62" i="3" s="1"/>
  <c r="X64" i="3" s="1"/>
  <c r="X67" i="3" s="1"/>
  <c r="W59" i="3" a="1"/>
  <c r="W59" i="3" s="1"/>
  <c r="W62" i="3" s="1"/>
  <c r="V59" i="3" a="1"/>
  <c r="V59" i="3" s="1"/>
  <c r="U59" i="3" a="1"/>
  <c r="U59" i="3"/>
  <c r="U62" i="3" s="1"/>
  <c r="T59" i="3" a="1"/>
  <c r="T59" i="3" s="1"/>
  <c r="S59" i="3" a="1"/>
  <c r="S59" i="3" s="1"/>
  <c r="R59" i="3" a="1"/>
  <c r="R59" i="3"/>
  <c r="Q59" i="3" a="1"/>
  <c r="Q59" i="3" s="1"/>
  <c r="P59" i="3" a="1"/>
  <c r="P59" i="3" s="1"/>
  <c r="O59" i="3" a="1"/>
  <c r="O59" i="3" s="1"/>
  <c r="O62" i="3" s="1"/>
  <c r="N59" i="3" a="1"/>
  <c r="N59" i="3"/>
  <c r="N62" i="3" s="1"/>
  <c r="M59" i="3" a="1"/>
  <c r="M59" i="3" s="1"/>
  <c r="M62" i="3" s="1"/>
  <c r="L59" i="3" a="1"/>
  <c r="L59" i="3" s="1"/>
  <c r="K59" i="3" a="1"/>
  <c r="K59" i="3"/>
  <c r="K62" i="3" s="1"/>
  <c r="J59" i="3" a="1"/>
  <c r="J59" i="3" s="1"/>
  <c r="J62" i="3" s="1"/>
  <c r="I59" i="3" a="1"/>
  <c r="I59" i="3" s="1"/>
  <c r="H59" i="3" a="1"/>
  <c r="H59" i="3" s="1"/>
  <c r="H62" i="3" s="1"/>
  <c r="G59" i="3" a="1"/>
  <c r="G59" i="3" s="1"/>
  <c r="G62" i="3" s="1"/>
  <c r="F59" i="3" a="1"/>
  <c r="F59" i="3" s="1"/>
  <c r="F62" i="3" s="1"/>
  <c r="E59" i="3" a="1"/>
  <c r="E59" i="3" s="1"/>
  <c r="W58" i="3"/>
  <c r="I58" i="3"/>
  <c r="AI57" i="3" a="1"/>
  <c r="AI57" i="3" s="1"/>
  <c r="AH57" i="3" a="1"/>
  <c r="AH57" i="3"/>
  <c r="AG57" i="3" a="1"/>
  <c r="AG57" i="3" s="1"/>
  <c r="AF57" i="3" a="1"/>
  <c r="AF57" i="3"/>
  <c r="AE57" i="3" a="1"/>
  <c r="AE57" i="3"/>
  <c r="AD57" i="3" a="1"/>
  <c r="AD57" i="3"/>
  <c r="AC57" i="3" a="1"/>
  <c r="AC57" i="3"/>
  <c r="AB57" i="3" a="1"/>
  <c r="AB57" i="3"/>
  <c r="AA57" i="3" a="1"/>
  <c r="AA57" i="3"/>
  <c r="Z57" i="3" a="1"/>
  <c r="Z57" i="3"/>
  <c r="Y57" i="3" a="1"/>
  <c r="Y57" i="3" s="1"/>
  <c r="X57" i="3" a="1"/>
  <c r="X57" i="3"/>
  <c r="W57" i="3" a="1"/>
  <c r="W57" i="3" s="1"/>
  <c r="V57" i="3" a="1"/>
  <c r="V57" i="3"/>
  <c r="U57" i="3" a="1"/>
  <c r="U57" i="3"/>
  <c r="T57" i="3" a="1"/>
  <c r="T57" i="3"/>
  <c r="S57" i="3" a="1"/>
  <c r="S57" i="3"/>
  <c r="R57" i="3" a="1"/>
  <c r="R57" i="3"/>
  <c r="Q57" i="3" a="1"/>
  <c r="Q57" i="3"/>
  <c r="P57" i="3" a="1"/>
  <c r="P57" i="3"/>
  <c r="O57" i="3" a="1"/>
  <c r="O57" i="3" s="1"/>
  <c r="N57" i="3" a="1"/>
  <c r="N57" i="3"/>
  <c r="M57" i="3" a="1"/>
  <c r="M57" i="3" s="1"/>
  <c r="L57" i="3" a="1"/>
  <c r="L57" i="3"/>
  <c r="K57" i="3" a="1"/>
  <c r="K57" i="3"/>
  <c r="J57" i="3" a="1"/>
  <c r="J57" i="3"/>
  <c r="I57" i="3" a="1"/>
  <c r="I57" i="3"/>
  <c r="H57" i="3" a="1"/>
  <c r="H57" i="3" s="1"/>
  <c r="G57" i="3" a="1"/>
  <c r="G57" i="3"/>
  <c r="F57" i="3" a="1"/>
  <c r="F57" i="3"/>
  <c r="E57" i="3" a="1"/>
  <c r="E57" i="3" s="1"/>
  <c r="AI56" i="3" a="1"/>
  <c r="AI56" i="3" s="1"/>
  <c r="AH56" i="3" a="1"/>
  <c r="AH56" i="3" s="1"/>
  <c r="AG56" i="3" a="1"/>
  <c r="AG56" i="3"/>
  <c r="AF56" i="3" a="1"/>
  <c r="AF56" i="3" s="1"/>
  <c r="AF58" i="3" s="1"/>
  <c r="AE56" i="3" a="1"/>
  <c r="AE56" i="3" s="1"/>
  <c r="AD56" i="3" a="1"/>
  <c r="AD56" i="3"/>
  <c r="AD58" i="3" s="1"/>
  <c r="AD64" i="3" s="1"/>
  <c r="AD67" i="3" s="1"/>
  <c r="AC56" i="3" a="1"/>
  <c r="AC56" i="3" s="1"/>
  <c r="AB56" i="3" a="1"/>
  <c r="AB56" i="3" s="1"/>
  <c r="AB58" i="3" s="1"/>
  <c r="AA56" i="3" a="1"/>
  <c r="AA56" i="3" s="1"/>
  <c r="Z56" i="3" a="1"/>
  <c r="Z56" i="3" s="1"/>
  <c r="Y56" i="3" a="1"/>
  <c r="Y56" i="3" s="1"/>
  <c r="X56" i="3" a="1"/>
  <c r="X56" i="3" s="1"/>
  <c r="W56" i="3" a="1"/>
  <c r="W56" i="3"/>
  <c r="V56" i="3" a="1"/>
  <c r="V56" i="3" s="1"/>
  <c r="V58" i="3" s="1"/>
  <c r="U56" i="3" a="1"/>
  <c r="U56" i="3" s="1"/>
  <c r="T56" i="3" a="1"/>
  <c r="T56" i="3"/>
  <c r="T58" i="3" s="1"/>
  <c r="S56" i="3" a="1"/>
  <c r="S56" i="3" s="1"/>
  <c r="R56" i="3" a="1"/>
  <c r="R56" i="3" s="1"/>
  <c r="Q56" i="3" a="1"/>
  <c r="Q56" i="3" s="1"/>
  <c r="P56" i="3" a="1"/>
  <c r="P56" i="3" s="1"/>
  <c r="O56" i="3" a="1"/>
  <c r="O56" i="3" s="1"/>
  <c r="N56" i="3" a="1"/>
  <c r="N56" i="3" s="1"/>
  <c r="N58" i="3" s="1"/>
  <c r="N64" i="3" s="1"/>
  <c r="N67" i="3" s="1"/>
  <c r="M56" i="3" a="1"/>
  <c r="M56" i="3"/>
  <c r="L56" i="3" a="1"/>
  <c r="L56" i="3" s="1"/>
  <c r="L58" i="3" s="1"/>
  <c r="K56" i="3" a="1"/>
  <c r="K56" i="3" s="1"/>
  <c r="J56" i="3" a="1"/>
  <c r="J56" i="3"/>
  <c r="J58" i="3" s="1"/>
  <c r="I56" i="3" a="1"/>
  <c r="I56" i="3" s="1"/>
  <c r="H56" i="3" a="1"/>
  <c r="H56" i="3" s="1"/>
  <c r="G56" i="3" a="1"/>
  <c r="G56" i="3" s="1"/>
  <c r="F56" i="3" a="1"/>
  <c r="F56" i="3" s="1"/>
  <c r="E56" i="3" a="1"/>
  <c r="E56" i="3" s="1"/>
  <c r="AI55" i="3" a="1"/>
  <c r="AI55" i="3"/>
  <c r="AH55" i="3" a="1"/>
  <c r="AH55" i="3"/>
  <c r="AH58" i="3" s="1"/>
  <c r="AG55" i="3" a="1"/>
  <c r="AG55" i="3"/>
  <c r="AF55" i="3" a="1"/>
  <c r="AF55" i="3"/>
  <c r="AE55" i="3" a="1"/>
  <c r="AE55" i="3" s="1"/>
  <c r="AE58" i="3" s="1"/>
  <c r="AE64" i="3" s="1"/>
  <c r="AD55" i="3" a="1"/>
  <c r="AD55" i="3"/>
  <c r="AC55" i="3" a="1"/>
  <c r="AC55" i="3"/>
  <c r="AC58" i="3" s="1"/>
  <c r="AB55" i="3" a="1"/>
  <c r="AB55" i="3" s="1"/>
  <c r="AA55" i="3" a="1"/>
  <c r="AA55" i="3"/>
  <c r="Z55" i="3" a="1"/>
  <c r="Z55" i="3" s="1"/>
  <c r="Y55" i="3" a="1"/>
  <c r="Y55" i="3"/>
  <c r="X55" i="3" a="1"/>
  <c r="X55" i="3"/>
  <c r="X58" i="3" s="1"/>
  <c r="W55" i="3" a="1"/>
  <c r="W55" i="3"/>
  <c r="V55" i="3" a="1"/>
  <c r="V55" i="3"/>
  <c r="U55" i="3" a="1"/>
  <c r="U55" i="3"/>
  <c r="T55" i="3" a="1"/>
  <c r="T55" i="3"/>
  <c r="S55" i="3" a="1"/>
  <c r="S55" i="3"/>
  <c r="R55" i="3" a="1"/>
  <c r="R55" i="3" s="1"/>
  <c r="Q55" i="3" a="1"/>
  <c r="Q55" i="3"/>
  <c r="P55" i="3" a="1"/>
  <c r="P55" i="3" s="1"/>
  <c r="O55" i="3" a="1"/>
  <c r="O55" i="3"/>
  <c r="N55" i="3" a="1"/>
  <c r="N55" i="3"/>
  <c r="M55" i="3" a="1"/>
  <c r="M55" i="3"/>
  <c r="M58" i="3" s="1"/>
  <c r="L55" i="3" a="1"/>
  <c r="L55" i="3"/>
  <c r="K55" i="3" a="1"/>
  <c r="K55" i="3"/>
  <c r="J55" i="3" a="1"/>
  <c r="J55" i="3"/>
  <c r="I55" i="3" a="1"/>
  <c r="I55" i="3"/>
  <c r="H55" i="3" a="1"/>
  <c r="H55" i="3" s="1"/>
  <c r="G55" i="3" a="1"/>
  <c r="G55" i="3"/>
  <c r="F55" i="3" a="1"/>
  <c r="F55" i="3" s="1"/>
  <c r="E55" i="3" a="1"/>
  <c r="E55" i="3"/>
  <c r="AI53" i="3" a="1"/>
  <c r="AI53" i="3" s="1"/>
  <c r="AH53" i="3" a="1"/>
  <c r="AH53" i="3" s="1"/>
  <c r="AG53" i="3" a="1"/>
  <c r="AG53" i="3" s="1"/>
  <c r="AF53" i="3" a="1"/>
  <c r="AF53" i="3"/>
  <c r="AE53" i="3" a="1"/>
  <c r="AE53" i="3" s="1"/>
  <c r="AD53" i="3" a="1"/>
  <c r="AD53" i="3" s="1"/>
  <c r="AC53" i="3" a="1"/>
  <c r="AC53" i="3"/>
  <c r="AB53" i="3" a="1"/>
  <c r="AB53" i="3" s="1"/>
  <c r="AA53" i="3" a="1"/>
  <c r="AA53" i="3" s="1"/>
  <c r="Z53" i="3" a="1"/>
  <c r="Z53" i="3" s="1"/>
  <c r="Y53" i="3" a="1"/>
  <c r="Y53" i="3" s="1"/>
  <c r="X53" i="3" a="1"/>
  <c r="X53" i="3" s="1"/>
  <c r="W53" i="3" a="1"/>
  <c r="W53" i="3" s="1"/>
  <c r="V53" i="3" a="1"/>
  <c r="V53" i="3"/>
  <c r="U53" i="3" a="1"/>
  <c r="U53" i="3" s="1"/>
  <c r="T53" i="3" a="1"/>
  <c r="T53" i="3" s="1"/>
  <c r="S53" i="3" a="1"/>
  <c r="S53" i="3"/>
  <c r="R53" i="3" a="1"/>
  <c r="R53" i="3" s="1"/>
  <c r="Q53" i="3" a="1"/>
  <c r="Q53" i="3" s="1"/>
  <c r="P53" i="3" a="1"/>
  <c r="P53" i="3" s="1"/>
  <c r="O53" i="3" a="1"/>
  <c r="O53" i="3" s="1"/>
  <c r="N53" i="3" a="1"/>
  <c r="N53" i="3" s="1"/>
  <c r="M53" i="3" a="1"/>
  <c r="M53" i="3" s="1"/>
  <c r="L53" i="3" a="1"/>
  <c r="L53" i="3"/>
  <c r="K53" i="3" a="1"/>
  <c r="K53" i="3" s="1"/>
  <c r="J53" i="3" a="1"/>
  <c r="J53" i="3" s="1"/>
  <c r="I53" i="3" a="1"/>
  <c r="I53" i="3"/>
  <c r="H53" i="3" a="1"/>
  <c r="H53" i="3" s="1"/>
  <c r="G53" i="3" a="1"/>
  <c r="G53" i="3" s="1"/>
  <c r="F53" i="3" a="1"/>
  <c r="F53" i="3"/>
  <c r="E53" i="3" a="1"/>
  <c r="E53" i="3" s="1"/>
  <c r="AI52" i="3" a="1"/>
  <c r="AI52" i="3" s="1"/>
  <c r="AH52" i="3" a="1"/>
  <c r="AH52" i="3"/>
  <c r="AG52" i="3" a="1"/>
  <c r="AG52" i="3"/>
  <c r="AF52" i="3" a="1"/>
  <c r="AF52" i="3"/>
  <c r="AE52" i="3" a="1"/>
  <c r="AE52" i="3"/>
  <c r="AD52" i="3" a="1"/>
  <c r="AD52" i="3"/>
  <c r="AC52" i="3" a="1"/>
  <c r="AC52" i="3"/>
  <c r="AB52" i="3" a="1"/>
  <c r="AB52" i="3"/>
  <c r="AA52" i="3" a="1"/>
  <c r="AA52" i="3" s="1"/>
  <c r="Z52" i="3" a="1"/>
  <c r="Z52" i="3"/>
  <c r="Y52" i="3" a="1"/>
  <c r="Y52" i="3" s="1"/>
  <c r="X52" i="3" a="1"/>
  <c r="X52" i="3"/>
  <c r="W52" i="3" a="1"/>
  <c r="W52" i="3"/>
  <c r="V52" i="3" a="1"/>
  <c r="V52" i="3"/>
  <c r="U52" i="3" a="1"/>
  <c r="U52" i="3"/>
  <c r="T52" i="3" a="1"/>
  <c r="T52" i="3"/>
  <c r="S52" i="3" a="1"/>
  <c r="S52" i="3"/>
  <c r="R52" i="3" a="1"/>
  <c r="R52" i="3"/>
  <c r="Q52" i="3" a="1"/>
  <c r="Q52" i="3" s="1"/>
  <c r="P52" i="3" a="1"/>
  <c r="P52" i="3"/>
  <c r="O52" i="3" a="1"/>
  <c r="O52" i="3" s="1"/>
  <c r="N52" i="3" a="1"/>
  <c r="N52" i="3"/>
  <c r="M52" i="3" a="1"/>
  <c r="M52" i="3"/>
  <c r="AJ52" i="3" s="1"/>
  <c r="L52" i="3" a="1"/>
  <c r="L52" i="3" s="1"/>
  <c r="K52" i="3" a="1"/>
  <c r="K52" i="3"/>
  <c r="J52" i="3" a="1"/>
  <c r="J52" i="3"/>
  <c r="I52" i="3" a="1"/>
  <c r="I52" i="3"/>
  <c r="H52" i="3" a="1"/>
  <c r="H52" i="3"/>
  <c r="G52" i="3" a="1"/>
  <c r="G52" i="3" s="1"/>
  <c r="F52" i="3" a="1"/>
  <c r="F52" i="3"/>
  <c r="E52" i="3" a="1"/>
  <c r="E52" i="3" s="1"/>
  <c r="AI50" i="3" a="1"/>
  <c r="AI50" i="3" s="1"/>
  <c r="AH50" i="3" a="1"/>
  <c r="AH50" i="3" s="1"/>
  <c r="AG50" i="3" a="1"/>
  <c r="AG50" i="3" s="1"/>
  <c r="AF50" i="3" a="1"/>
  <c r="AF50" i="3" s="1"/>
  <c r="AE50" i="3" a="1"/>
  <c r="AE50" i="3"/>
  <c r="AD50" i="3" a="1"/>
  <c r="AD50" i="3" s="1"/>
  <c r="AC50" i="3" a="1"/>
  <c r="AC50" i="3" s="1"/>
  <c r="AB50" i="3" a="1"/>
  <c r="AB50" i="3"/>
  <c r="AA50" i="3" a="1"/>
  <c r="AA50" i="3" s="1"/>
  <c r="Z50" i="3" a="1"/>
  <c r="Z50" i="3" s="1"/>
  <c r="Y50" i="3" a="1"/>
  <c r="Y50" i="3"/>
  <c r="X50" i="3" a="1"/>
  <c r="X50" i="3" s="1"/>
  <c r="W50" i="3" a="1"/>
  <c r="W50" i="3" s="1"/>
  <c r="V50" i="3" a="1"/>
  <c r="V50" i="3" s="1"/>
  <c r="U50" i="3" a="1"/>
  <c r="U50" i="3"/>
  <c r="T50" i="3" a="1"/>
  <c r="T50" i="3" s="1"/>
  <c r="S50" i="3" a="1"/>
  <c r="S50" i="3" s="1"/>
  <c r="R50" i="3" a="1"/>
  <c r="R50" i="3"/>
  <c r="Q50" i="3" a="1"/>
  <c r="Q50" i="3" s="1"/>
  <c r="P50" i="3" a="1"/>
  <c r="P50" i="3" s="1"/>
  <c r="O50" i="3" a="1"/>
  <c r="O50" i="3"/>
  <c r="N50" i="3" a="1"/>
  <c r="N50" i="3" s="1"/>
  <c r="M50" i="3" a="1"/>
  <c r="M50" i="3" s="1"/>
  <c r="L50" i="3" a="1"/>
  <c r="L50" i="3" s="1"/>
  <c r="K50" i="3" a="1"/>
  <c r="K50" i="3"/>
  <c r="J50" i="3" a="1"/>
  <c r="J50" i="3" s="1"/>
  <c r="I50" i="3" a="1"/>
  <c r="I50" i="3" s="1"/>
  <c r="H50" i="3" a="1"/>
  <c r="H50" i="3"/>
  <c r="G50" i="3" a="1"/>
  <c r="G50" i="3" s="1"/>
  <c r="F50" i="3" a="1"/>
  <c r="F50" i="3" s="1"/>
  <c r="E50" i="3" a="1"/>
  <c r="E50" i="3" s="1"/>
  <c r="AI48" i="3" a="1"/>
  <c r="AI48" i="3"/>
  <c r="AH48" i="3" a="1"/>
  <c r="AH48" i="3"/>
  <c r="AG48" i="3" a="1"/>
  <c r="AG48" i="3"/>
  <c r="AF48" i="3" a="1"/>
  <c r="AF48" i="3" s="1"/>
  <c r="AE48" i="3" a="1"/>
  <c r="AE48" i="3"/>
  <c r="AD48" i="3" a="1"/>
  <c r="AD48" i="3" s="1"/>
  <c r="AC48" i="3" a="1"/>
  <c r="AC48" i="3"/>
  <c r="AB48" i="3" a="1"/>
  <c r="AB48" i="3"/>
  <c r="AA48" i="3" a="1"/>
  <c r="AA48" i="3" s="1"/>
  <c r="Z48" i="3" a="1"/>
  <c r="Z48" i="3"/>
  <c r="Y48" i="3" a="1"/>
  <c r="Y48" i="3"/>
  <c r="X48" i="3" a="1"/>
  <c r="X48" i="3"/>
  <c r="W48" i="3" a="1"/>
  <c r="W48" i="3"/>
  <c r="V48" i="3" a="1"/>
  <c r="V48" i="3" s="1"/>
  <c r="U48" i="3" a="1"/>
  <c r="U48" i="3"/>
  <c r="T48" i="3" a="1"/>
  <c r="T48" i="3" s="1"/>
  <c r="S48" i="3" a="1"/>
  <c r="S48" i="3"/>
  <c r="R48" i="3" a="1"/>
  <c r="R48" i="3"/>
  <c r="Q48" i="3" a="1"/>
  <c r="Q48" i="3" s="1"/>
  <c r="P48" i="3" a="1"/>
  <c r="P48" i="3"/>
  <c r="O48" i="3" a="1"/>
  <c r="O48" i="3"/>
  <c r="N48" i="3" a="1"/>
  <c r="N48" i="3"/>
  <c r="M48" i="3" a="1"/>
  <c r="M48" i="3"/>
  <c r="L48" i="3" a="1"/>
  <c r="L48" i="3" s="1"/>
  <c r="K48" i="3" a="1"/>
  <c r="K48" i="3"/>
  <c r="J48" i="3" a="1"/>
  <c r="J48" i="3" s="1"/>
  <c r="I48" i="3" a="1"/>
  <c r="I48" i="3"/>
  <c r="H48" i="3" a="1"/>
  <c r="H48" i="3"/>
  <c r="G48" i="3" a="1"/>
  <c r="G48" i="3" s="1"/>
  <c r="F48" i="3" a="1"/>
  <c r="F48" i="3"/>
  <c r="E48" i="3" a="1"/>
  <c r="E48" i="3" s="1"/>
  <c r="AI47" i="3" a="1"/>
  <c r="AI47" i="3" s="1"/>
  <c r="AH47" i="3" a="1"/>
  <c r="AH47" i="3"/>
  <c r="AG47" i="3" a="1"/>
  <c r="AG47" i="3" s="1"/>
  <c r="AF47" i="3" a="1"/>
  <c r="AF47" i="3"/>
  <c r="AE47" i="3" a="1"/>
  <c r="AE47" i="3" s="1"/>
  <c r="AD47" i="3" a="1"/>
  <c r="AD47" i="3"/>
  <c r="AC47" i="3" a="1"/>
  <c r="AC47" i="3"/>
  <c r="AC49" i="3" s="1"/>
  <c r="AB47" i="3" a="1"/>
  <c r="AB47" i="3" s="1"/>
  <c r="AA47" i="3" a="1"/>
  <c r="AA47" i="3"/>
  <c r="AA49" i="3" s="1"/>
  <c r="Z47" i="3" a="1"/>
  <c r="Z47" i="3" s="1"/>
  <c r="Y47" i="3" a="1"/>
  <c r="Y47" i="3" s="1"/>
  <c r="X47" i="3" a="1"/>
  <c r="X47" i="3"/>
  <c r="W47" i="3" a="1"/>
  <c r="W47" i="3" s="1"/>
  <c r="V47" i="3" a="1"/>
  <c r="V47" i="3"/>
  <c r="V49" i="3" s="1"/>
  <c r="U47" i="3" a="1"/>
  <c r="U47" i="3" s="1"/>
  <c r="T47" i="3" a="1"/>
  <c r="T47" i="3"/>
  <c r="S47" i="3" a="1"/>
  <c r="S47" i="3"/>
  <c r="R47" i="3" a="1"/>
  <c r="R47" i="3" s="1"/>
  <c r="Q47" i="3" a="1"/>
  <c r="Q47" i="3"/>
  <c r="Q49" i="3" s="1"/>
  <c r="P47" i="3" a="1"/>
  <c r="P47" i="3" s="1"/>
  <c r="O47" i="3" a="1"/>
  <c r="O47" i="3" s="1"/>
  <c r="N47" i="3" a="1"/>
  <c r="N47" i="3" s="1"/>
  <c r="M47" i="3" a="1"/>
  <c r="M47" i="3" s="1"/>
  <c r="L47" i="3" a="1"/>
  <c r="L47" i="3" s="1"/>
  <c r="K47" i="3" a="1"/>
  <c r="K47" i="3" s="1"/>
  <c r="J47" i="3" a="1"/>
  <c r="J47" i="3"/>
  <c r="I47" i="3" a="1"/>
  <c r="I47" i="3"/>
  <c r="I49" i="3" s="1"/>
  <c r="H47" i="3" a="1"/>
  <c r="H47" i="3" s="1"/>
  <c r="G47" i="3" a="1"/>
  <c r="G47" i="3"/>
  <c r="F47" i="3" a="1"/>
  <c r="F47" i="3" s="1"/>
  <c r="E47" i="3" a="1"/>
  <c r="E47" i="3" s="1"/>
  <c r="AI46" i="3" a="1"/>
  <c r="AI46" i="3" s="1"/>
  <c r="AH46" i="3" a="1"/>
  <c r="AH46" i="3"/>
  <c r="AH49" i="3" s="1"/>
  <c r="AG46" i="3" a="1"/>
  <c r="AG46" i="3" s="1"/>
  <c r="AG49" i="3" s="1"/>
  <c r="AF46" i="3" a="1"/>
  <c r="AF46" i="3"/>
  <c r="AE46" i="3" a="1"/>
  <c r="AE46" i="3"/>
  <c r="AE49" i="3" s="1"/>
  <c r="AD46" i="3" a="1"/>
  <c r="AD46" i="3" s="1"/>
  <c r="AD49" i="3" s="1"/>
  <c r="AC46" i="3" a="1"/>
  <c r="AC46" i="3"/>
  <c r="AB46" i="3" a="1"/>
  <c r="AB46" i="3" s="1"/>
  <c r="AB49" i="3" s="1"/>
  <c r="AA46" i="3" a="1"/>
  <c r="AA46" i="3"/>
  <c r="Z46" i="3" a="1"/>
  <c r="Z46" i="3"/>
  <c r="Y46" i="3" a="1"/>
  <c r="Y46" i="3" s="1"/>
  <c r="X46" i="3" a="1"/>
  <c r="X46" i="3"/>
  <c r="W46" i="3" a="1"/>
  <c r="W46" i="3" s="1"/>
  <c r="W49" i="3" s="1"/>
  <c r="V46" i="3" a="1"/>
  <c r="V46" i="3"/>
  <c r="U46" i="3" a="1"/>
  <c r="U46" i="3" s="1"/>
  <c r="U49" i="3" s="1"/>
  <c r="T46" i="3" a="1"/>
  <c r="T46" i="3"/>
  <c r="T49" i="3" s="1"/>
  <c r="S46" i="3" a="1"/>
  <c r="S46" i="3"/>
  <c r="R46" i="3" a="1"/>
  <c r="R46" i="3" s="1"/>
  <c r="R49" i="3" s="1"/>
  <c r="Q46" i="3" a="1"/>
  <c r="Q46" i="3"/>
  <c r="P46" i="3" a="1"/>
  <c r="P46" i="3"/>
  <c r="O46" i="3" a="1"/>
  <c r="O46" i="3" s="1"/>
  <c r="N46" i="3" a="1"/>
  <c r="N46" i="3"/>
  <c r="N49" i="3" s="1"/>
  <c r="M46" i="3" a="1"/>
  <c r="M46" i="3" s="1"/>
  <c r="L46" i="3" a="1"/>
  <c r="L46" i="3"/>
  <c r="K46" i="3" a="1"/>
  <c r="K46" i="3"/>
  <c r="K49" i="3" s="1"/>
  <c r="J46" i="3" a="1"/>
  <c r="J46" i="3" s="1"/>
  <c r="J49" i="3" s="1"/>
  <c r="I46" i="3" a="1"/>
  <c r="I46" i="3"/>
  <c r="H46" i="3" a="1"/>
  <c r="H46" i="3" s="1"/>
  <c r="G46" i="3" a="1"/>
  <c r="G46" i="3"/>
  <c r="F46" i="3" a="1"/>
  <c r="F46" i="3"/>
  <c r="F49" i="3" s="1"/>
  <c r="E46" i="3" a="1"/>
  <c r="E46" i="3" s="1"/>
  <c r="J45" i="3"/>
  <c r="I45" i="3"/>
  <c r="I51" i="3" s="1"/>
  <c r="I54" i="3" s="1"/>
  <c r="G45" i="3"/>
  <c r="AI44" i="3" a="1"/>
  <c r="AI44" i="3" s="1"/>
  <c r="AH44" i="3" a="1"/>
  <c r="AH44" i="3" s="1"/>
  <c r="AG44" i="3" a="1"/>
  <c r="AG44" i="3" s="1"/>
  <c r="AF44" i="3" a="1"/>
  <c r="AF44" i="3" s="1"/>
  <c r="AE44" i="3" a="1"/>
  <c r="AE44" i="3"/>
  <c r="AD44" i="3" a="1"/>
  <c r="AD44" i="3" s="1"/>
  <c r="AC44" i="3" a="1"/>
  <c r="AC44" i="3"/>
  <c r="AB44" i="3" a="1"/>
  <c r="AB44" i="3"/>
  <c r="AA44" i="3" a="1"/>
  <c r="AA44" i="3" s="1"/>
  <c r="Z44" i="3" a="1"/>
  <c r="Z44" i="3"/>
  <c r="Y44" i="3" a="1"/>
  <c r="Y44" i="3" s="1"/>
  <c r="X44" i="3" a="1"/>
  <c r="X44" i="3" s="1"/>
  <c r="W44" i="3" a="1"/>
  <c r="W44" i="3"/>
  <c r="V44" i="3" a="1"/>
  <c r="V44" i="3" s="1"/>
  <c r="U44" i="3" a="1"/>
  <c r="U44" i="3" s="1"/>
  <c r="T44" i="3" a="1"/>
  <c r="T44" i="3" s="1"/>
  <c r="S44" i="3" a="1"/>
  <c r="S44" i="3"/>
  <c r="R44" i="3" a="1"/>
  <c r="R44" i="3"/>
  <c r="Q44" i="3" a="1"/>
  <c r="Q44" i="3" s="1"/>
  <c r="P44" i="3" a="1"/>
  <c r="P44" i="3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J44" i="3" a="1"/>
  <c r="J44" i="3" s="1"/>
  <c r="I44" i="3" a="1"/>
  <c r="I44" i="3"/>
  <c r="H44" i="3" a="1"/>
  <c r="H44" i="3" s="1"/>
  <c r="G44" i="3" a="1"/>
  <c r="G44" i="3" s="1"/>
  <c r="F44" i="3" a="1"/>
  <c r="F44" i="3"/>
  <c r="E44" i="3" a="1"/>
  <c r="E44" i="3" s="1"/>
  <c r="AI43" i="3" a="1"/>
  <c r="AI43" i="3"/>
  <c r="AH43" i="3" a="1"/>
  <c r="AH43" i="3"/>
  <c r="AG43" i="3" a="1"/>
  <c r="AG43" i="3"/>
  <c r="AF43" i="3" a="1"/>
  <c r="AF43" i="3" s="1"/>
  <c r="AE43" i="3" a="1"/>
  <c r="AE43" i="3"/>
  <c r="AD43" i="3" a="1"/>
  <c r="AD43" i="3"/>
  <c r="AC43" i="3" a="1"/>
  <c r="AC43" i="3"/>
  <c r="AB43" i="3" a="1"/>
  <c r="AB43" i="3"/>
  <c r="AA43" i="3" a="1"/>
  <c r="AA43" i="3" s="1"/>
  <c r="Z43" i="3" a="1"/>
  <c r="Z43" i="3"/>
  <c r="Y43" i="3" a="1"/>
  <c r="Y43" i="3"/>
  <c r="X43" i="3" a="1"/>
  <c r="X43" i="3"/>
  <c r="W43" i="3" a="1"/>
  <c r="W43" i="3"/>
  <c r="W45" i="3" s="1"/>
  <c r="W51" i="3" s="1"/>
  <c r="W54" i="3" s="1"/>
  <c r="V43" i="3" a="1"/>
  <c r="V43" i="3" s="1"/>
  <c r="U43" i="3" a="1"/>
  <c r="U43" i="3"/>
  <c r="T43" i="3" a="1"/>
  <c r="T43" i="3"/>
  <c r="S43" i="3" a="1"/>
  <c r="S43" i="3" s="1"/>
  <c r="R43" i="3" a="1"/>
  <c r="R43" i="3"/>
  <c r="Q43" i="3" a="1"/>
  <c r="Q43" i="3" s="1"/>
  <c r="P43" i="3" a="1"/>
  <c r="P43" i="3"/>
  <c r="O43" i="3" a="1"/>
  <c r="O43" i="3"/>
  <c r="N43" i="3" a="1"/>
  <c r="N43" i="3" s="1"/>
  <c r="M43" i="3" a="1"/>
  <c r="M43" i="3"/>
  <c r="L43" i="3" a="1"/>
  <c r="L43" i="3" s="1"/>
  <c r="K43" i="3" a="1"/>
  <c r="K43" i="3"/>
  <c r="J43" i="3" a="1"/>
  <c r="J43" i="3"/>
  <c r="I43" i="3" a="1"/>
  <c r="I43" i="3"/>
  <c r="H43" i="3" a="1"/>
  <c r="H43" i="3"/>
  <c r="G43" i="3" a="1"/>
  <c r="G43" i="3" s="1"/>
  <c r="F43" i="3" a="1"/>
  <c r="F43" i="3"/>
  <c r="E43" i="3" a="1"/>
  <c r="E43" i="3"/>
  <c r="AI42" i="3" a="1"/>
  <c r="AI42" i="3" s="1"/>
  <c r="AI45" i="3" s="1"/>
  <c r="AH42" i="3" a="1"/>
  <c r="AH42" i="3"/>
  <c r="AH45" i="3" s="1"/>
  <c r="AH51" i="3" s="1"/>
  <c r="AH54" i="3" s="1"/>
  <c r="AG42" i="3" a="1"/>
  <c r="AG42" i="3" s="1"/>
  <c r="AF42" i="3" a="1"/>
  <c r="AF42" i="3"/>
  <c r="AF45" i="3" s="1"/>
  <c r="AE42" i="3" a="1"/>
  <c r="AE42" i="3" s="1"/>
  <c r="AE45" i="3" s="1"/>
  <c r="AE51" i="3" s="1"/>
  <c r="AE54" i="3" s="1"/>
  <c r="AD42" i="3" a="1"/>
  <c r="AD42" i="3" s="1"/>
  <c r="AD45" i="3" s="1"/>
  <c r="AD51" i="3" s="1"/>
  <c r="AD54" i="3" s="1"/>
  <c r="AC42" i="3" a="1"/>
  <c r="AC42" i="3"/>
  <c r="AC45" i="3" s="1"/>
  <c r="AC51" i="3" s="1"/>
  <c r="AC54" i="3" s="1"/>
  <c r="AB42" i="3" a="1"/>
  <c r="AB42" i="3" s="1"/>
  <c r="AB45" i="3" s="1"/>
  <c r="AB51" i="3" s="1"/>
  <c r="AB54" i="3" s="1"/>
  <c r="AA42" i="3" a="1"/>
  <c r="AA42" i="3" s="1"/>
  <c r="AA45" i="3" s="1"/>
  <c r="AA51" i="3" s="1"/>
  <c r="AA54" i="3" s="1"/>
  <c r="Z42" i="3" a="1"/>
  <c r="Z42" i="3" s="1"/>
  <c r="Z45" i="3" s="1"/>
  <c r="Y42" i="3" a="1"/>
  <c r="Y42" i="3" s="1"/>
  <c r="X42" i="3" a="1"/>
  <c r="X42" i="3" s="1"/>
  <c r="W42" i="3" a="1"/>
  <c r="W42" i="3" s="1"/>
  <c r="V42" i="3" a="1"/>
  <c r="V42" i="3"/>
  <c r="U42" i="3" a="1"/>
  <c r="U42" i="3"/>
  <c r="T42" i="3" a="1"/>
  <c r="T42" i="3" s="1"/>
  <c r="S42" i="3" a="1"/>
  <c r="S42" i="3"/>
  <c r="S45" i="3" s="1"/>
  <c r="R42" i="3" a="1"/>
  <c r="R42" i="3" s="1"/>
  <c r="R45" i="3" s="1"/>
  <c r="Q42" i="3" a="1"/>
  <c r="Q42" i="3" s="1"/>
  <c r="P42" i="3" a="1"/>
  <c r="P42" i="3"/>
  <c r="P45" i="3" s="1"/>
  <c r="O42" i="3" a="1"/>
  <c r="O42" i="3" s="1"/>
  <c r="O45" i="3" s="1"/>
  <c r="N42" i="3" a="1"/>
  <c r="N42" i="3"/>
  <c r="N45" i="3" s="1"/>
  <c r="N51" i="3" s="1"/>
  <c r="N54" i="3" s="1"/>
  <c r="M42" i="3" a="1"/>
  <c r="M42" i="3" s="1"/>
  <c r="L42" i="3" a="1"/>
  <c r="L42" i="3"/>
  <c r="K42" i="3" a="1"/>
  <c r="K42" i="3" s="1"/>
  <c r="J42" i="3" a="1"/>
  <c r="J42" i="3" s="1"/>
  <c r="I42" i="3" a="1"/>
  <c r="I42" i="3"/>
  <c r="H42" i="3" a="1"/>
  <c r="H42" i="3" s="1"/>
  <c r="G42" i="3" a="1"/>
  <c r="G42" i="3" s="1"/>
  <c r="F42" i="3" a="1"/>
  <c r="F42" i="3"/>
  <c r="F45" i="3" s="1"/>
  <c r="F51" i="3" s="1"/>
  <c r="F54" i="3" s="1"/>
  <c r="E42" i="3" a="1"/>
  <c r="E42" i="3" s="1"/>
  <c r="E45" i="3" s="1"/>
  <c r="AI38" i="3" a="1"/>
  <c r="AI38" i="3"/>
  <c r="AH38" i="3" a="1"/>
  <c r="AH38" i="3" s="1"/>
  <c r="AG38" i="3" a="1"/>
  <c r="AG38" i="3" s="1"/>
  <c r="AF38" i="3" a="1"/>
  <c r="AF38" i="3" s="1"/>
  <c r="AE38" i="3" a="1"/>
  <c r="AE38" i="3" s="1"/>
  <c r="AD38" i="3" a="1"/>
  <c r="AD38" i="3" s="1"/>
  <c r="AC38" i="3" a="1"/>
  <c r="AC38" i="3" s="1"/>
  <c r="AB38" i="3" a="1"/>
  <c r="AB38" i="3" s="1"/>
  <c r="AA38" i="3" a="1"/>
  <c r="AA38" i="3" s="1"/>
  <c r="Z38" i="3" a="1"/>
  <c r="Z38" i="3"/>
  <c r="Y38" i="3" a="1"/>
  <c r="Y38" i="3" s="1"/>
  <c r="X38" i="3" a="1"/>
  <c r="X38" i="3" s="1"/>
  <c r="W38" i="3" a="1"/>
  <c r="W38" i="3" s="1"/>
  <c r="V38" i="3" a="1"/>
  <c r="V38" i="3" s="1"/>
  <c r="U38" i="3" a="1"/>
  <c r="U38" i="3" s="1"/>
  <c r="T38" i="3" a="1"/>
  <c r="T38" i="3"/>
  <c r="S38" i="3" a="1"/>
  <c r="S38" i="3" s="1"/>
  <c r="R38" i="3" a="1"/>
  <c r="R38" i="3" s="1"/>
  <c r="Q38" i="3" a="1"/>
  <c r="Q38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J38" i="3" a="1"/>
  <c r="J38" i="3"/>
  <c r="I38" i="3" a="1"/>
  <c r="I38" i="3" s="1"/>
  <c r="H38" i="3" a="1"/>
  <c r="H38" i="3"/>
  <c r="G38" i="3" a="1"/>
  <c r="G38" i="3" s="1"/>
  <c r="F38" i="3" a="1"/>
  <c r="F38" i="3" s="1"/>
  <c r="E38" i="3" a="1"/>
  <c r="E38" i="3" s="1"/>
  <c r="BH35" i="3" a="1"/>
  <c r="BH35" i="3"/>
  <c r="BG35" i="3" a="1"/>
  <c r="BG35" i="3" s="1"/>
  <c r="BE35" i="3" a="1"/>
  <c r="BE35" i="3" s="1"/>
  <c r="BC35" i="3" a="1"/>
  <c r="BC35" i="3"/>
  <c r="BB35" i="3" a="1"/>
  <c r="BB35" i="3"/>
  <c r="BA35" i="3" a="1"/>
  <c r="BA35" i="3" s="1"/>
  <c r="BD35" i="3" s="1"/>
  <c r="AY35" i="3" a="1"/>
  <c r="AY35" i="3"/>
  <c r="AX35" i="3" a="1"/>
  <c r="AX35" i="3"/>
  <c r="AW35" i="3" a="1"/>
  <c r="AW35" i="3" s="1"/>
  <c r="AU35" i="3" a="1"/>
  <c r="AU35" i="3"/>
  <c r="AT35" i="3" a="1"/>
  <c r="AT35" i="3"/>
  <c r="AR35" i="3" a="1"/>
  <c r="AR35" i="3" s="1"/>
  <c r="AP35" i="3" a="1"/>
  <c r="AP35" i="3"/>
  <c r="AO35" i="3" a="1"/>
  <c r="AO35" i="3" s="1"/>
  <c r="AN35" i="3" a="1"/>
  <c r="AN35" i="3"/>
  <c r="AQ35" i="3" s="1"/>
  <c r="AL35" i="3" a="1"/>
  <c r="AL35" i="3"/>
  <c r="AK35" i="3" a="1"/>
  <c r="AK35" i="3" s="1"/>
  <c r="AJ35" i="3" a="1"/>
  <c r="AJ35" i="3" s="1"/>
  <c r="AM35" i="3" s="1"/>
  <c r="AS35" i="3" s="1"/>
  <c r="AV35" i="3" s="1"/>
  <c r="BH34" i="3" a="1"/>
  <c r="BH34" i="3"/>
  <c r="BG34" i="3" a="1"/>
  <c r="BG34" i="3"/>
  <c r="BE34" i="3" a="1"/>
  <c r="BE34" i="3" s="1"/>
  <c r="BC34" i="3" a="1"/>
  <c r="BC34" i="3" s="1"/>
  <c r="BB34" i="3" a="1"/>
  <c r="BB34" i="3"/>
  <c r="BA34" i="3" a="1"/>
  <c r="BA34" i="3"/>
  <c r="BD34" i="3" s="1"/>
  <c r="AY34" i="3" a="1"/>
  <c r="AY34" i="3" s="1"/>
  <c r="AX34" i="3" a="1"/>
  <c r="AX34" i="3"/>
  <c r="AW34" i="3" a="1"/>
  <c r="AW34" i="3" s="1"/>
  <c r="AZ34" i="3" s="1"/>
  <c r="BF34" i="3" s="1"/>
  <c r="BI34" i="3" s="1"/>
  <c r="AU34" i="3" a="1"/>
  <c r="AU34" i="3"/>
  <c r="AT34" i="3" a="1"/>
  <c r="AT34" i="3"/>
  <c r="AR34" i="3" a="1"/>
  <c r="AR34" i="3"/>
  <c r="AQ34" i="3"/>
  <c r="AP34" i="3" a="1"/>
  <c r="AP34" i="3"/>
  <c r="AO34" i="3" a="1"/>
  <c r="AO34" i="3"/>
  <c r="AN34" i="3" a="1"/>
  <c r="AN34" i="3"/>
  <c r="AL34" i="3" a="1"/>
  <c r="AL34" i="3" s="1"/>
  <c r="AK34" i="3" a="1"/>
  <c r="AK34" i="3" s="1"/>
  <c r="AJ34" i="3" a="1"/>
  <c r="AJ34" i="3" s="1"/>
  <c r="BH33" i="3" a="1"/>
  <c r="BH33" i="3" s="1"/>
  <c r="BG33" i="3" a="1"/>
  <c r="BG33" i="3"/>
  <c r="BE33" i="3" a="1"/>
  <c r="BE33" i="3" s="1"/>
  <c r="BC33" i="3" a="1"/>
  <c r="BC33" i="3" s="1"/>
  <c r="BB33" i="3" a="1"/>
  <c r="BB33" i="3" s="1"/>
  <c r="BA33" i="3" a="1"/>
  <c r="BA33" i="3"/>
  <c r="AY33" i="3" a="1"/>
  <c r="AY33" i="3" s="1"/>
  <c r="AX33" i="3" a="1"/>
  <c r="AX33" i="3" s="1"/>
  <c r="AW33" i="3" a="1"/>
  <c r="AW33" i="3"/>
  <c r="AZ33" i="3" s="1"/>
  <c r="AU33" i="3" a="1"/>
  <c r="AU33" i="3"/>
  <c r="AT33" i="3" a="1"/>
  <c r="AT33" i="3"/>
  <c r="AR33" i="3" a="1"/>
  <c r="AR33" i="3"/>
  <c r="AP33" i="3" a="1"/>
  <c r="AP33" i="3"/>
  <c r="AO33" i="3" a="1"/>
  <c r="AO33" i="3"/>
  <c r="AN33" i="3" a="1"/>
  <c r="AN33" i="3" s="1"/>
  <c r="AQ33" i="3" s="1"/>
  <c r="AL33" i="3" a="1"/>
  <c r="AL33" i="3" s="1"/>
  <c r="AK33" i="3" a="1"/>
  <c r="AK33" i="3"/>
  <c r="AJ33" i="3" a="1"/>
  <c r="AJ33" i="3" s="1"/>
  <c r="AM33" i="3" s="1"/>
  <c r="BH32" i="3" a="1"/>
  <c r="BH32" i="3"/>
  <c r="BG32" i="3" a="1"/>
  <c r="BG32" i="3"/>
  <c r="BE32" i="3" a="1"/>
  <c r="BE32" i="3"/>
  <c r="BC32" i="3" a="1"/>
  <c r="BC32" i="3"/>
  <c r="BB32" i="3" a="1"/>
  <c r="BB32" i="3" s="1"/>
  <c r="BD32" i="3" s="1"/>
  <c r="BA32" i="3" a="1"/>
  <c r="BA32" i="3"/>
  <c r="AY32" i="3" a="1"/>
  <c r="AY32" i="3" s="1"/>
  <c r="AX32" i="3" a="1"/>
  <c r="AX32" i="3"/>
  <c r="AW32" i="3" a="1"/>
  <c r="AW32" i="3"/>
  <c r="AU32" i="3" a="1"/>
  <c r="AU32" i="3"/>
  <c r="AT32" i="3" a="1"/>
  <c r="AT32" i="3" s="1"/>
  <c r="AR32" i="3" a="1"/>
  <c r="AR32" i="3" s="1"/>
  <c r="AQ32" i="3"/>
  <c r="AP32" i="3" a="1"/>
  <c r="AP32" i="3"/>
  <c r="AO32" i="3" a="1"/>
  <c r="AO32" i="3"/>
  <c r="AN32" i="3" a="1"/>
  <c r="AN32" i="3"/>
  <c r="AL32" i="3" a="1"/>
  <c r="AL32" i="3"/>
  <c r="AK32" i="3" a="1"/>
  <c r="AK32" i="3" s="1"/>
  <c r="AJ32" i="3" a="1"/>
  <c r="AJ32" i="3" s="1"/>
  <c r="AM32" i="3" s="1"/>
  <c r="BH31" i="3" a="1"/>
  <c r="BH31" i="3"/>
  <c r="BG31" i="3" a="1"/>
  <c r="BG31" i="3" s="1"/>
  <c r="BE31" i="3" a="1"/>
  <c r="BE31" i="3"/>
  <c r="BC31" i="3" a="1"/>
  <c r="BC31" i="3"/>
  <c r="BD31" i="3" s="1"/>
  <c r="BB31" i="3" a="1"/>
  <c r="BB31" i="3"/>
  <c r="BA31" i="3" a="1"/>
  <c r="BA31" i="3" s="1"/>
  <c r="AY31" i="3" a="1"/>
  <c r="AY31" i="3"/>
  <c r="AX31" i="3" a="1"/>
  <c r="AX31" i="3" s="1"/>
  <c r="AW31" i="3" a="1"/>
  <c r="AW31" i="3"/>
  <c r="AZ31" i="3" s="1"/>
  <c r="AU31" i="3" a="1"/>
  <c r="AU31" i="3"/>
  <c r="AT31" i="3" a="1"/>
  <c r="AT31" i="3"/>
  <c r="AR31" i="3" a="1"/>
  <c r="AR31" i="3" s="1"/>
  <c r="AP31" i="3" a="1"/>
  <c r="AP31" i="3"/>
  <c r="AO31" i="3" a="1"/>
  <c r="AO31" i="3" s="1"/>
  <c r="AN31" i="3" a="1"/>
  <c r="AN31" i="3" s="1"/>
  <c r="AQ31" i="3" s="1"/>
  <c r="AL31" i="3" a="1"/>
  <c r="AL31" i="3" s="1"/>
  <c r="AK31" i="3" a="1"/>
  <c r="AK31" i="3"/>
  <c r="AJ31" i="3" a="1"/>
  <c r="AJ31" i="3"/>
  <c r="AM31" i="3" s="1"/>
  <c r="BH30" i="3" a="1"/>
  <c r="BH30" i="3"/>
  <c r="BG30" i="3" a="1"/>
  <c r="BG30" i="3" s="1"/>
  <c r="BE30" i="3" a="1"/>
  <c r="BE30" i="3" s="1"/>
  <c r="BC30" i="3" a="1"/>
  <c r="BC30" i="3" s="1"/>
  <c r="BB30" i="3" a="1"/>
  <c r="BB30" i="3" s="1"/>
  <c r="BD30" i="3" s="1"/>
  <c r="BA30" i="3" a="1"/>
  <c r="BA30" i="3" s="1"/>
  <c r="AY30" i="3" a="1"/>
  <c r="AY30" i="3"/>
  <c r="AX30" i="3" a="1"/>
  <c r="AX30" i="3"/>
  <c r="AW30" i="3" a="1"/>
  <c r="AW30" i="3" s="1"/>
  <c r="AZ30" i="3" s="1"/>
  <c r="AU30" i="3" a="1"/>
  <c r="AU30" i="3"/>
  <c r="AT30" i="3" a="1"/>
  <c r="AT30" i="3"/>
  <c r="AR30" i="3" a="1"/>
  <c r="AR30" i="3" s="1"/>
  <c r="AP30" i="3" a="1"/>
  <c r="AP30" i="3" s="1"/>
  <c r="AO30" i="3" a="1"/>
  <c r="AO30" i="3"/>
  <c r="AN30" i="3" a="1"/>
  <c r="AN30" i="3"/>
  <c r="AL30" i="3" a="1"/>
  <c r="AL30" i="3"/>
  <c r="AK30" i="3" a="1"/>
  <c r="AK30" i="3" s="1"/>
  <c r="AJ30" i="3" a="1"/>
  <c r="AJ30" i="3"/>
  <c r="AM30" i="3" s="1"/>
  <c r="BH29" i="3" a="1"/>
  <c r="BH29" i="3"/>
  <c r="BG29" i="3" a="1"/>
  <c r="BG29" i="3"/>
  <c r="BE29" i="3" a="1"/>
  <c r="BE29" i="3" s="1"/>
  <c r="BC29" i="3" a="1"/>
  <c r="BC29" i="3" s="1"/>
  <c r="BD29" i="3" s="1"/>
  <c r="BB29" i="3" a="1"/>
  <c r="BB29" i="3"/>
  <c r="BA29" i="3" a="1"/>
  <c r="BA29" i="3" s="1"/>
  <c r="AY29" i="3" a="1"/>
  <c r="AY29" i="3" s="1"/>
  <c r="AX29" i="3" a="1"/>
  <c r="AX29" i="3"/>
  <c r="AW29" i="3" a="1"/>
  <c r="AW29" i="3" s="1"/>
  <c r="AZ29" i="3" s="1"/>
  <c r="AU29" i="3" a="1"/>
  <c r="AU29" i="3"/>
  <c r="AT29" i="3" a="1"/>
  <c r="AT29" i="3"/>
  <c r="AR29" i="3" a="1"/>
  <c r="AR29" i="3" s="1"/>
  <c r="AQ29" i="3"/>
  <c r="AS29" i="3" s="1"/>
  <c r="AV29" i="3" s="1"/>
  <c r="AP29" i="3" a="1"/>
  <c r="AP29" i="3"/>
  <c r="AO29" i="3" a="1"/>
  <c r="AO29" i="3" s="1"/>
  <c r="AN29" i="3" a="1"/>
  <c r="AN29" i="3" s="1"/>
  <c r="AL29" i="3" a="1"/>
  <c r="AL29" i="3"/>
  <c r="AK29" i="3" a="1"/>
  <c r="AK29" i="3" s="1"/>
  <c r="AJ29" i="3" a="1"/>
  <c r="AJ29" i="3" s="1"/>
  <c r="AM29" i="3" s="1"/>
  <c r="BH28" i="3" a="1"/>
  <c r="BH28" i="3"/>
  <c r="BG28" i="3" a="1"/>
  <c r="BG28" i="3"/>
  <c r="BE28" i="3" a="1"/>
  <c r="BE28" i="3" s="1"/>
  <c r="BC28" i="3" a="1"/>
  <c r="BC28" i="3"/>
  <c r="BB28" i="3" a="1"/>
  <c r="BB28" i="3" s="1"/>
  <c r="BD28" i="3" s="1"/>
  <c r="BA28" i="3" a="1"/>
  <c r="BA28" i="3"/>
  <c r="AY28" i="3" a="1"/>
  <c r="AY28" i="3" s="1"/>
  <c r="AX28" i="3" a="1"/>
  <c r="AX28" i="3" s="1"/>
  <c r="AW28" i="3" a="1"/>
  <c r="AW28" i="3" s="1"/>
  <c r="AZ28" i="3" s="1"/>
  <c r="BF28" i="3" s="1"/>
  <c r="BI28" i="3" s="1"/>
  <c r="AU28" i="3" a="1"/>
  <c r="AU28" i="3" s="1"/>
  <c r="AT28" i="3" a="1"/>
  <c r="AT28" i="3"/>
  <c r="AR28" i="3" a="1"/>
  <c r="AR28" i="3"/>
  <c r="AP28" i="3" a="1"/>
  <c r="AP28" i="3" s="1"/>
  <c r="AO28" i="3" a="1"/>
  <c r="AO28" i="3"/>
  <c r="AN28" i="3" a="1"/>
  <c r="AN28" i="3"/>
  <c r="AL28" i="3" a="1"/>
  <c r="AL28" i="3" s="1"/>
  <c r="AK28" i="3" a="1"/>
  <c r="AK28" i="3" s="1"/>
  <c r="AJ28" i="3" a="1"/>
  <c r="AJ28" i="3"/>
  <c r="BH27" i="3" a="1"/>
  <c r="BH27" i="3"/>
  <c r="BG27" i="3" a="1"/>
  <c r="BG27" i="3"/>
  <c r="BE27" i="3" a="1"/>
  <c r="BE27" i="3"/>
  <c r="BC27" i="3" a="1"/>
  <c r="BC27" i="3" s="1"/>
  <c r="BB27" i="3" a="1"/>
  <c r="BB27" i="3"/>
  <c r="BA27" i="3" a="1"/>
  <c r="BA27" i="3"/>
  <c r="BD27" i="3" s="1"/>
  <c r="AY27" i="3" a="1"/>
  <c r="AY27" i="3" s="1"/>
  <c r="AX27" i="3" a="1"/>
  <c r="AX27" i="3" s="1"/>
  <c r="AW27" i="3" a="1"/>
  <c r="AW27" i="3" s="1"/>
  <c r="AU27" i="3" a="1"/>
  <c r="AU27" i="3"/>
  <c r="AT27" i="3" a="1"/>
  <c r="AT27" i="3"/>
  <c r="AR27" i="3" a="1"/>
  <c r="AR27" i="3" s="1"/>
  <c r="AP27" i="3" a="1"/>
  <c r="AP27" i="3"/>
  <c r="AQ27" i="3" s="1"/>
  <c r="AO27" i="3" a="1"/>
  <c r="AO27" i="3"/>
  <c r="AN27" i="3" a="1"/>
  <c r="AN27" i="3"/>
  <c r="AL27" i="3" a="1"/>
  <c r="AL27" i="3" s="1"/>
  <c r="AK27" i="3" a="1"/>
  <c r="AK27" i="3" s="1"/>
  <c r="AJ27" i="3" a="1"/>
  <c r="AJ27" i="3" s="1"/>
  <c r="BH26" i="3" a="1"/>
  <c r="BH26" i="3"/>
  <c r="BG26" i="3" a="1"/>
  <c r="BG26" i="3"/>
  <c r="BE26" i="3" a="1"/>
  <c r="BE26" i="3" s="1"/>
  <c r="BC26" i="3" a="1"/>
  <c r="BC26" i="3"/>
  <c r="BB26" i="3" a="1"/>
  <c r="BB26" i="3"/>
  <c r="BA26" i="3" a="1"/>
  <c r="BA26" i="3" s="1"/>
  <c r="AY26" i="3" a="1"/>
  <c r="AY26" i="3"/>
  <c r="AX26" i="3" a="1"/>
  <c r="AX26" i="3" s="1"/>
  <c r="AW26" i="3" a="1"/>
  <c r="AW26" i="3"/>
  <c r="AZ26" i="3" s="1"/>
  <c r="AU26" i="3" a="1"/>
  <c r="AU26" i="3"/>
  <c r="AT26" i="3" a="1"/>
  <c r="AT26" i="3"/>
  <c r="AR26" i="3" a="1"/>
  <c r="AR26" i="3" s="1"/>
  <c r="AP26" i="3" a="1"/>
  <c r="AP26" i="3"/>
  <c r="AO26" i="3" a="1"/>
  <c r="AO26" i="3"/>
  <c r="AN26" i="3" a="1"/>
  <c r="AN26" i="3" s="1"/>
  <c r="AQ26" i="3" s="1"/>
  <c r="AL26" i="3" a="1"/>
  <c r="AL26" i="3" s="1"/>
  <c r="AK26" i="3" a="1"/>
  <c r="AK26" i="3" s="1"/>
  <c r="AJ26" i="3" a="1"/>
  <c r="AJ26" i="3"/>
  <c r="BH25" i="3" a="1"/>
  <c r="BH25" i="3"/>
  <c r="BG25" i="3" a="1"/>
  <c r="BG25" i="3"/>
  <c r="BE25" i="3" a="1"/>
  <c r="BE25" i="3" s="1"/>
  <c r="BC25" i="3" a="1"/>
  <c r="BC25" i="3"/>
  <c r="BB25" i="3" a="1"/>
  <c r="BB25" i="3" s="1"/>
  <c r="BA25" i="3" a="1"/>
  <c r="BA25" i="3" s="1"/>
  <c r="AY25" i="3" a="1"/>
  <c r="AY25" i="3"/>
  <c r="AX25" i="3" a="1"/>
  <c r="AX25" i="3"/>
  <c r="AW25" i="3" a="1"/>
  <c r="AW25" i="3"/>
  <c r="AZ25" i="3" s="1"/>
  <c r="AU25" i="3" a="1"/>
  <c r="AU25" i="3"/>
  <c r="AT25" i="3" a="1"/>
  <c r="AT25" i="3"/>
  <c r="AR25" i="3" a="1"/>
  <c r="AR25" i="3" s="1"/>
  <c r="AP25" i="3" a="1"/>
  <c r="AP25" i="3"/>
  <c r="AO25" i="3" a="1"/>
  <c r="AO25" i="3" s="1"/>
  <c r="AN25" i="3" a="1"/>
  <c r="AN25" i="3"/>
  <c r="AL25" i="3" a="1"/>
  <c r="AL25" i="3" s="1"/>
  <c r="AK25" i="3" a="1"/>
  <c r="AK25" i="3" s="1"/>
  <c r="AJ25" i="3" a="1"/>
  <c r="AJ25" i="3"/>
  <c r="AM25" i="3" s="1"/>
  <c r="BH24" i="3" a="1"/>
  <c r="BH24" i="3"/>
  <c r="BG24" i="3" a="1"/>
  <c r="BG24" i="3"/>
  <c r="BE24" i="3" a="1"/>
  <c r="BE24" i="3" s="1"/>
  <c r="BC24" i="3" a="1"/>
  <c r="BC24" i="3" s="1"/>
  <c r="BD24" i="3" s="1"/>
  <c r="BB24" i="3" a="1"/>
  <c r="BB24" i="3"/>
  <c r="BA24" i="3" a="1"/>
  <c r="BA24" i="3"/>
  <c r="AY24" i="3" a="1"/>
  <c r="AY24" i="3" s="1"/>
  <c r="AX24" i="3" a="1"/>
  <c r="AX24" i="3"/>
  <c r="AW24" i="3" a="1"/>
  <c r="AW24" i="3" s="1"/>
  <c r="AZ24" i="3" s="1"/>
  <c r="AU24" i="3" a="1"/>
  <c r="AU24" i="3"/>
  <c r="AT24" i="3" a="1"/>
  <c r="AT24" i="3" s="1"/>
  <c r="AR24" i="3" a="1"/>
  <c r="AR24" i="3"/>
  <c r="AP24" i="3" a="1"/>
  <c r="AP24" i="3"/>
  <c r="AO24" i="3" a="1"/>
  <c r="AO24" i="3" s="1"/>
  <c r="AN24" i="3" a="1"/>
  <c r="AN24" i="3" s="1"/>
  <c r="AQ24" i="3" s="1"/>
  <c r="AL24" i="3" a="1"/>
  <c r="AL24" i="3"/>
  <c r="AK24" i="3" a="1"/>
  <c r="AK24" i="3" s="1"/>
  <c r="AJ24" i="3" a="1"/>
  <c r="AJ24" i="3" s="1"/>
  <c r="AM24" i="3" s="1"/>
  <c r="BH23" i="3" a="1"/>
  <c r="BH23" i="3"/>
  <c r="BG23" i="3" a="1"/>
  <c r="BG23" i="3" s="1"/>
  <c r="BE23" i="3" a="1"/>
  <c r="BE23" i="3" s="1"/>
  <c r="BC23" i="3" a="1"/>
  <c r="BC23" i="3" s="1"/>
  <c r="BB23" i="3" a="1"/>
  <c r="BB23" i="3" s="1"/>
  <c r="BD23" i="3" s="1"/>
  <c r="BA23" i="3" a="1"/>
  <c r="BA23" i="3"/>
  <c r="AY23" i="3" a="1"/>
  <c r="AY23" i="3" s="1"/>
  <c r="AX23" i="3" a="1"/>
  <c r="AX23" i="3" s="1"/>
  <c r="AW23" i="3" a="1"/>
  <c r="AW23" i="3"/>
  <c r="AZ23" i="3" s="1"/>
  <c r="AU23" i="3" a="1"/>
  <c r="AU23" i="3"/>
  <c r="AT23" i="3" a="1"/>
  <c r="AT23" i="3"/>
  <c r="AR23" i="3" a="1"/>
  <c r="AR23" i="3"/>
  <c r="AP23" i="3" a="1"/>
  <c r="AP23" i="3" s="1"/>
  <c r="AO23" i="3" a="1"/>
  <c r="AO23" i="3"/>
  <c r="AN23" i="3" a="1"/>
  <c r="AN23" i="3" s="1"/>
  <c r="AL23" i="3" a="1"/>
  <c r="AL23" i="3" s="1"/>
  <c r="AK23" i="3" a="1"/>
  <c r="AK23" i="3"/>
  <c r="AJ23" i="3" a="1"/>
  <c r="AJ23" i="3"/>
  <c r="AM23" i="3" s="1"/>
  <c r="BH22" i="3" a="1"/>
  <c r="BH22" i="3"/>
  <c r="BG22" i="3" a="1"/>
  <c r="BG22" i="3"/>
  <c r="BE22" i="3" a="1"/>
  <c r="BE22" i="3" s="1"/>
  <c r="BC22" i="3" a="1"/>
  <c r="BC22" i="3" s="1"/>
  <c r="BB22" i="3" a="1"/>
  <c r="BB22" i="3"/>
  <c r="BA22" i="3" a="1"/>
  <c r="BA22" i="3"/>
  <c r="AY22" i="3" a="1"/>
  <c r="AY22" i="3" s="1"/>
  <c r="AX22" i="3" a="1"/>
  <c r="AX22" i="3" s="1"/>
  <c r="AW22" i="3" a="1"/>
  <c r="AW22" i="3"/>
  <c r="AU22" i="3" a="1"/>
  <c r="AU22" i="3"/>
  <c r="AT22" i="3" a="1"/>
  <c r="AT22" i="3"/>
  <c r="AR22" i="3" a="1"/>
  <c r="AR22" i="3" s="1"/>
  <c r="AQ22" i="3"/>
  <c r="AP22" i="3" a="1"/>
  <c r="AP22" i="3" s="1"/>
  <c r="AO22" i="3" a="1"/>
  <c r="AO22" i="3"/>
  <c r="AN22" i="3" a="1"/>
  <c r="AN22" i="3"/>
  <c r="AL22" i="3" a="1"/>
  <c r="AL22" i="3" s="1"/>
  <c r="AK22" i="3" a="1"/>
  <c r="AK22" i="3"/>
  <c r="AJ22" i="3" a="1"/>
  <c r="AJ22" i="3" s="1"/>
  <c r="AM22" i="3" s="1"/>
  <c r="AS22" i="3" s="1"/>
  <c r="AV22" i="3" s="1"/>
  <c r="BH21" i="3" a="1"/>
  <c r="BH21" i="3"/>
  <c r="BG21" i="3" a="1"/>
  <c r="BG21" i="3" s="1"/>
  <c r="BE21" i="3" a="1"/>
  <c r="BE21" i="3"/>
  <c r="BC21" i="3" a="1"/>
  <c r="BC21" i="3"/>
  <c r="BB21" i="3" a="1"/>
  <c r="BB21" i="3"/>
  <c r="BA21" i="3" a="1"/>
  <c r="BA21" i="3" s="1"/>
  <c r="BD21" i="3" s="1"/>
  <c r="AY21" i="3" a="1"/>
  <c r="AY21" i="3"/>
  <c r="AX21" i="3" a="1"/>
  <c r="AX21" i="3" s="1"/>
  <c r="AW21" i="3" a="1"/>
  <c r="AW21" i="3"/>
  <c r="AZ21" i="3" s="1"/>
  <c r="AU21" i="3" a="1"/>
  <c r="AU21" i="3"/>
  <c r="AT21" i="3" a="1"/>
  <c r="AT21" i="3" s="1"/>
  <c r="AR21" i="3" a="1"/>
  <c r="AR21" i="3" s="1"/>
  <c r="AQ21" i="3"/>
  <c r="AP21" i="3" a="1"/>
  <c r="AP21" i="3"/>
  <c r="AO21" i="3" a="1"/>
  <c r="AO21" i="3" s="1"/>
  <c r="AN21" i="3" a="1"/>
  <c r="AN21" i="3" s="1"/>
  <c r="AL21" i="3" a="1"/>
  <c r="AL21" i="3" s="1"/>
  <c r="AK21" i="3" a="1"/>
  <c r="AK21" i="3"/>
  <c r="AJ21" i="3" a="1"/>
  <c r="AJ21" i="3"/>
  <c r="AM21" i="3" s="1"/>
  <c r="BH20" i="3" a="1"/>
  <c r="BH20" i="3"/>
  <c r="BG20" i="3" a="1"/>
  <c r="BG20" i="3" s="1"/>
  <c r="BE20" i="3" a="1"/>
  <c r="BE20" i="3" s="1"/>
  <c r="BC20" i="3" a="1"/>
  <c r="BC20" i="3" s="1"/>
  <c r="BB20" i="3" a="1"/>
  <c r="BB20" i="3" s="1"/>
  <c r="BD20" i="3" s="1"/>
  <c r="BA20" i="3" a="1"/>
  <c r="BA20" i="3"/>
  <c r="AY20" i="3" a="1"/>
  <c r="AY20" i="3"/>
  <c r="AX20" i="3" a="1"/>
  <c r="AX20" i="3"/>
  <c r="AW20" i="3" a="1"/>
  <c r="AW20" i="3"/>
  <c r="AZ20" i="3" s="1"/>
  <c r="AU20" i="3" a="1"/>
  <c r="AU20" i="3"/>
  <c r="AT20" i="3" a="1"/>
  <c r="AT20" i="3"/>
  <c r="AR20" i="3" a="1"/>
  <c r="AR20" i="3" s="1"/>
  <c r="AQ20" i="3"/>
  <c r="AP20" i="3" a="1"/>
  <c r="AP20" i="3" s="1"/>
  <c r="AO20" i="3" a="1"/>
  <c r="AO20" i="3" s="1"/>
  <c r="AN20" i="3" a="1"/>
  <c r="AN20" i="3"/>
  <c r="AL20" i="3" a="1"/>
  <c r="AL20" i="3" s="1"/>
  <c r="AK20" i="3" a="1"/>
  <c r="AK20" i="3"/>
  <c r="AJ20" i="3" a="1"/>
  <c r="AJ20" i="3"/>
  <c r="AM20" i="3" s="1"/>
  <c r="AS20" i="3" s="1"/>
  <c r="AV20" i="3" s="1"/>
  <c r="BH19" i="3" a="1"/>
  <c r="BH19" i="3"/>
  <c r="BG19" i="3" a="1"/>
  <c r="BG19" i="3"/>
  <c r="BE19" i="3" a="1"/>
  <c r="BE19" i="3" s="1"/>
  <c r="BC19" i="3" a="1"/>
  <c r="BC19" i="3" s="1"/>
  <c r="BD19" i="3" s="1"/>
  <c r="BB19" i="3" a="1"/>
  <c r="BB19" i="3"/>
  <c r="BA19" i="3" a="1"/>
  <c r="BA19" i="3"/>
  <c r="AY19" i="3" a="1"/>
  <c r="AY19" i="3"/>
  <c r="AX19" i="3" a="1"/>
  <c r="AX19" i="3"/>
  <c r="AW19" i="3" a="1"/>
  <c r="AW19" i="3" s="1"/>
  <c r="AZ19" i="3" s="1"/>
  <c r="AU19" i="3" a="1"/>
  <c r="AU19" i="3"/>
  <c r="AT19" i="3" a="1"/>
  <c r="AT19" i="3" s="1"/>
  <c r="AR19" i="3" a="1"/>
  <c r="AR19" i="3" s="1"/>
  <c r="AP19" i="3" a="1"/>
  <c r="AP19" i="3"/>
  <c r="AO19" i="3" a="1"/>
  <c r="AO19" i="3" s="1"/>
  <c r="AN19" i="3" a="1"/>
  <c r="AN19" i="3" s="1"/>
  <c r="AQ19" i="3" s="1"/>
  <c r="AS19" i="3" s="1"/>
  <c r="AV19" i="3" s="1"/>
  <c r="AL19" i="3" a="1"/>
  <c r="AL19" i="3"/>
  <c r="AK19" i="3" a="1"/>
  <c r="AK19" i="3" s="1"/>
  <c r="AJ19" i="3" a="1"/>
  <c r="AJ19" i="3" s="1"/>
  <c r="AM19" i="3" s="1"/>
  <c r="BH18" i="3" a="1"/>
  <c r="BH18" i="3" s="1"/>
  <c r="BG18" i="3" a="1"/>
  <c r="BG18" i="3" s="1"/>
  <c r="BE18" i="3" a="1"/>
  <c r="BE18" i="3" s="1"/>
  <c r="BC18" i="3" a="1"/>
  <c r="BC18" i="3" s="1"/>
  <c r="BD18" i="3" s="1"/>
  <c r="BF18" i="3" s="1"/>
  <c r="BI18" i="3" s="1"/>
  <c r="BB18" i="3" a="1"/>
  <c r="BB18" i="3"/>
  <c r="BA18" i="3" a="1"/>
  <c r="BA18" i="3"/>
  <c r="AY18" i="3" a="1"/>
  <c r="AY18" i="3" s="1"/>
  <c r="AX18" i="3" a="1"/>
  <c r="AX18" i="3" s="1"/>
  <c r="AW18" i="3" a="1"/>
  <c r="AW18" i="3"/>
  <c r="AZ18" i="3" s="1"/>
  <c r="AU18" i="3" a="1"/>
  <c r="AU18" i="3"/>
  <c r="AT18" i="3" a="1"/>
  <c r="AT18" i="3"/>
  <c r="AR18" i="3" a="1"/>
  <c r="AR18" i="3"/>
  <c r="AP18" i="3" a="1"/>
  <c r="AP18" i="3"/>
  <c r="AO18" i="3" a="1"/>
  <c r="AO18" i="3" s="1"/>
  <c r="AQ18" i="3" s="1"/>
  <c r="AN18" i="3" a="1"/>
  <c r="AN18" i="3" s="1"/>
  <c r="AL18" i="3" a="1"/>
  <c r="AL18" i="3" s="1"/>
  <c r="AK18" i="3" a="1"/>
  <c r="AK18" i="3"/>
  <c r="AJ18" i="3" a="1"/>
  <c r="AJ18" i="3"/>
  <c r="AM18" i="3" s="1"/>
  <c r="BH17" i="3" a="1"/>
  <c r="BH17" i="3"/>
  <c r="BG17" i="3" a="1"/>
  <c r="BG17" i="3"/>
  <c r="BE17" i="3" a="1"/>
  <c r="BE17" i="3"/>
  <c r="BC17" i="3" a="1"/>
  <c r="BC17" i="3"/>
  <c r="BB17" i="3" a="1"/>
  <c r="BB17" i="3" s="1"/>
  <c r="BD17" i="3" s="1"/>
  <c r="BA17" i="3" a="1"/>
  <c r="BA17" i="3"/>
  <c r="AY17" i="3" a="1"/>
  <c r="AY17" i="3" s="1"/>
  <c r="AX17" i="3" a="1"/>
  <c r="AX17" i="3"/>
  <c r="AW17" i="3" a="1"/>
  <c r="AW17" i="3"/>
  <c r="AU17" i="3" a="1"/>
  <c r="AU17" i="3"/>
  <c r="AT17" i="3" a="1"/>
  <c r="AT17" i="3" s="1"/>
  <c r="AR17" i="3" a="1"/>
  <c r="AR17" i="3" s="1"/>
  <c r="AP17" i="3" a="1"/>
  <c r="AP17" i="3" s="1"/>
  <c r="AQ17" i="3" s="1"/>
  <c r="AO17" i="3" a="1"/>
  <c r="AO17" i="3"/>
  <c r="AN17" i="3" a="1"/>
  <c r="AN17" i="3"/>
  <c r="AL17" i="3" a="1"/>
  <c r="AL17" i="3"/>
  <c r="AK17" i="3" a="1"/>
  <c r="AK17" i="3"/>
  <c r="AJ17" i="3" a="1"/>
  <c r="AJ17" i="3" s="1"/>
  <c r="AM17" i="3" s="1"/>
  <c r="BH16" i="3" a="1"/>
  <c r="BH16" i="3" s="1"/>
  <c r="BG16" i="3" a="1"/>
  <c r="BG16" i="3" s="1"/>
  <c r="BE16" i="3" a="1"/>
  <c r="BE16" i="3" s="1"/>
  <c r="BD16" i="3"/>
  <c r="BF16" i="3" s="1"/>
  <c r="BI16" i="3" s="1"/>
  <c r="BC16" i="3" a="1"/>
  <c r="BC16" i="3"/>
  <c r="BB16" i="3" a="1"/>
  <c r="BB16" i="3"/>
  <c r="BA16" i="3" a="1"/>
  <c r="BA16" i="3" s="1"/>
  <c r="AY16" i="3" a="1"/>
  <c r="AY16" i="3"/>
  <c r="AX16" i="3" a="1"/>
  <c r="AX16" i="3" s="1"/>
  <c r="AW16" i="3" a="1"/>
  <c r="AW16" i="3"/>
  <c r="AZ16" i="3" s="1"/>
  <c r="AU16" i="3" a="1"/>
  <c r="AU16" i="3"/>
  <c r="AT16" i="3" a="1"/>
  <c r="AT16" i="3"/>
  <c r="AR16" i="3" a="1"/>
  <c r="AR16" i="3" s="1"/>
  <c r="AP16" i="3" a="1"/>
  <c r="AP16" i="3"/>
  <c r="AO16" i="3" a="1"/>
  <c r="AO16" i="3" s="1"/>
  <c r="AN16" i="3" a="1"/>
  <c r="AN16" i="3" s="1"/>
  <c r="AQ16" i="3" s="1"/>
  <c r="AS16" i="3" s="1"/>
  <c r="AV16" i="3" s="1"/>
  <c r="AL16" i="3" a="1"/>
  <c r="AL16" i="3" s="1"/>
  <c r="AK16" i="3" a="1"/>
  <c r="AK16" i="3"/>
  <c r="AJ16" i="3" a="1"/>
  <c r="AJ16" i="3"/>
  <c r="AM16" i="3" s="1"/>
  <c r="BH15" i="3" a="1"/>
  <c r="BH15" i="3" s="1"/>
  <c r="BG15" i="3" a="1"/>
  <c r="BG15" i="3"/>
  <c r="BE15" i="3" a="1"/>
  <c r="BE15" i="3" s="1"/>
  <c r="BC15" i="3" a="1"/>
  <c r="BC15" i="3" s="1"/>
  <c r="BD15" i="3" s="1"/>
  <c r="BB15" i="3" a="1"/>
  <c r="BB15" i="3"/>
  <c r="BA15" i="3" a="1"/>
  <c r="BA15" i="3"/>
  <c r="AY15" i="3" a="1"/>
  <c r="AY15" i="3"/>
  <c r="AX15" i="3" a="1"/>
  <c r="AX15" i="3"/>
  <c r="AW15" i="3" a="1"/>
  <c r="AW15" i="3"/>
  <c r="AZ15" i="3" s="1"/>
  <c r="AU15" i="3" a="1"/>
  <c r="AU15" i="3" s="1"/>
  <c r="AT15" i="3" a="1"/>
  <c r="AT15" i="3"/>
  <c r="AR15" i="3" a="1"/>
  <c r="AR15" i="3" s="1"/>
  <c r="AP15" i="3" a="1"/>
  <c r="AP15" i="3" s="1"/>
  <c r="AQ15" i="3" s="1"/>
  <c r="AO15" i="3" a="1"/>
  <c r="AO15" i="3"/>
  <c r="AN15" i="3" a="1"/>
  <c r="AN15" i="3"/>
  <c r="AL15" i="3" a="1"/>
  <c r="AL15" i="3"/>
  <c r="AK15" i="3" a="1"/>
  <c r="AK15" i="3"/>
  <c r="AJ15" i="3" a="1"/>
  <c r="AJ15" i="3"/>
  <c r="AM15" i="3" s="1"/>
  <c r="BH14" i="3" a="1"/>
  <c r="BH14" i="3"/>
  <c r="BG14" i="3" a="1"/>
  <c r="BG14" i="3"/>
  <c r="BF14" i="3"/>
  <c r="BI14" i="3" s="1"/>
  <c r="BE14" i="3" a="1"/>
  <c r="BE14" i="3"/>
  <c r="BD14" i="3"/>
  <c r="BC14" i="3" a="1"/>
  <c r="BC14" i="3"/>
  <c r="BB14" i="3" a="1"/>
  <c r="BB14" i="3"/>
  <c r="BA14" i="3" a="1"/>
  <c r="BA14" i="3"/>
  <c r="AY14" i="3" a="1"/>
  <c r="AY14" i="3"/>
  <c r="AX14" i="3" a="1"/>
  <c r="AX14" i="3"/>
  <c r="AW14" i="3" a="1"/>
  <c r="AW14" i="3" s="1"/>
  <c r="AZ14" i="3" s="1"/>
  <c r="AU14" i="3" a="1"/>
  <c r="AU14" i="3"/>
  <c r="AT14" i="3" a="1"/>
  <c r="AT14" i="3"/>
  <c r="AR14" i="3" a="1"/>
  <c r="AR14" i="3" s="1"/>
  <c r="AP14" i="3" a="1"/>
  <c r="AP14" i="3"/>
  <c r="AO14" i="3" a="1"/>
  <c r="AO14" i="3" s="1"/>
  <c r="AN14" i="3" a="1"/>
  <c r="AN14" i="3"/>
  <c r="AL14" i="3" a="1"/>
  <c r="AL14" i="3"/>
  <c r="AK14" i="3" a="1"/>
  <c r="AK14" i="3" s="1"/>
  <c r="AJ14" i="3" a="1"/>
  <c r="AJ14" i="3" s="1"/>
  <c r="AM14" i="3" s="1"/>
  <c r="BH13" i="3" a="1"/>
  <c r="BH13" i="3" s="1"/>
  <c r="BG13" i="3" a="1"/>
  <c r="BG13" i="3" s="1"/>
  <c r="BE13" i="3" a="1"/>
  <c r="BE13" i="3" s="1"/>
  <c r="BD13" i="3"/>
  <c r="BC13" i="3" a="1"/>
  <c r="BC13" i="3"/>
  <c r="BB13" i="3" a="1"/>
  <c r="BB13" i="3"/>
  <c r="BA13" i="3" a="1"/>
  <c r="BA13" i="3"/>
  <c r="AY13" i="3" a="1"/>
  <c r="AY13" i="3" s="1"/>
  <c r="AX13" i="3" a="1"/>
  <c r="AX13" i="3" s="1"/>
  <c r="AW13" i="3" a="1"/>
  <c r="AW13" i="3"/>
  <c r="AZ13" i="3" s="1"/>
  <c r="BF13" i="3" s="1"/>
  <c r="AU13" i="3" a="1"/>
  <c r="AU13" i="3" s="1"/>
  <c r="AT13" i="3" a="1"/>
  <c r="AT13" i="3"/>
  <c r="AR13" i="3" a="1"/>
  <c r="AR13" i="3" s="1"/>
  <c r="AP13" i="3" a="1"/>
  <c r="AP13" i="3" s="1"/>
  <c r="AO13" i="3" a="1"/>
  <c r="AO13" i="3" s="1"/>
  <c r="AN13" i="3" a="1"/>
  <c r="AN13" i="3" s="1"/>
  <c r="AQ13" i="3" s="1"/>
  <c r="AL13" i="3" a="1"/>
  <c r="AL13" i="3" s="1"/>
  <c r="AK13" i="3" a="1"/>
  <c r="AK13" i="3"/>
  <c r="AJ13" i="3" a="1"/>
  <c r="AJ13" i="3"/>
  <c r="AM13" i="3" s="1"/>
  <c r="BH12" i="3" a="1"/>
  <c r="BH12" i="3" s="1"/>
  <c r="BG12" i="3" a="1"/>
  <c r="BG12" i="3"/>
  <c r="BE12" i="3" a="1"/>
  <c r="BE12" i="3" s="1"/>
  <c r="BF12" i="3" s="1"/>
  <c r="BI12" i="3" s="1"/>
  <c r="BD12" i="3"/>
  <c r="BC12" i="3" a="1"/>
  <c r="BC12" i="3" s="1"/>
  <c r="BB12" i="3" a="1"/>
  <c r="BB12" i="3" s="1"/>
  <c r="BA12" i="3" a="1"/>
  <c r="BA12" i="3"/>
  <c r="AY12" i="3" a="1"/>
  <c r="AY12" i="3"/>
  <c r="AX12" i="3" a="1"/>
  <c r="AX12" i="3"/>
  <c r="AW12" i="3" a="1"/>
  <c r="AW12" i="3"/>
  <c r="AZ12" i="3" s="1"/>
  <c r="AU12" i="3" a="1"/>
  <c r="AU12" i="3"/>
  <c r="AT12" i="3" a="1"/>
  <c r="AT12" i="3"/>
  <c r="AR12" i="3" a="1"/>
  <c r="AR12" i="3"/>
  <c r="AS12" i="3" s="1"/>
  <c r="AV12" i="3" s="1"/>
  <c r="AQ12" i="3"/>
  <c r="AP12" i="3" a="1"/>
  <c r="AP12" i="3"/>
  <c r="AO12" i="3" a="1"/>
  <c r="AO12" i="3"/>
  <c r="AN12" i="3" a="1"/>
  <c r="AN12" i="3"/>
  <c r="AL12" i="3" a="1"/>
  <c r="AL12" i="3"/>
  <c r="AK12" i="3" a="1"/>
  <c r="AK12" i="3"/>
  <c r="AJ12" i="3" a="1"/>
  <c r="AJ12" i="3" s="1"/>
  <c r="AM12" i="3" s="1"/>
  <c r="BH11" i="3" a="1"/>
  <c r="BH11" i="3" s="1"/>
  <c r="BG11" i="3" a="1"/>
  <c r="BG11" i="3" s="1"/>
  <c r="BE11" i="3" a="1"/>
  <c r="BE11" i="3" s="1"/>
  <c r="BC11" i="3" a="1"/>
  <c r="BC11" i="3"/>
  <c r="BB11" i="3" a="1"/>
  <c r="BB11" i="3"/>
  <c r="BA11" i="3" a="1"/>
  <c r="BA11" i="3"/>
  <c r="BD11" i="3" s="1"/>
  <c r="AY11" i="3" a="1"/>
  <c r="AY11" i="3"/>
  <c r="AX11" i="3" a="1"/>
  <c r="AX11" i="3" s="1"/>
  <c r="AW11" i="3" a="1"/>
  <c r="AW11" i="3" s="1"/>
  <c r="AZ11" i="3" s="1"/>
  <c r="AU11" i="3" a="1"/>
  <c r="AU11" i="3"/>
  <c r="AT11" i="3" a="1"/>
  <c r="AT11" i="3" s="1"/>
  <c r="AR11" i="3" a="1"/>
  <c r="AR11" i="3" s="1"/>
  <c r="AP11" i="3" a="1"/>
  <c r="AP11" i="3" s="1"/>
  <c r="AO11" i="3" a="1"/>
  <c r="AO11" i="3" s="1"/>
  <c r="AN11" i="3" a="1"/>
  <c r="AN11" i="3"/>
  <c r="AQ11" i="3" s="1"/>
  <c r="AL11" i="3" a="1"/>
  <c r="AL11" i="3" s="1"/>
  <c r="AK11" i="3" a="1"/>
  <c r="AK11" i="3"/>
  <c r="AJ11" i="3" a="1"/>
  <c r="AJ11" i="3" s="1"/>
  <c r="AM11" i="3" s="1"/>
  <c r="AS11" i="3" s="1"/>
  <c r="AV11" i="3" s="1"/>
  <c r="BH10" i="3" a="1"/>
  <c r="BH10" i="3"/>
  <c r="BG10" i="3" a="1"/>
  <c r="BG10" i="3" s="1"/>
  <c r="BE10" i="3" a="1"/>
  <c r="BE10" i="3" s="1"/>
  <c r="BC10" i="3" a="1"/>
  <c r="BC10" i="3" s="1"/>
  <c r="BB10" i="3" a="1"/>
  <c r="BB10" i="3" s="1"/>
  <c r="BA10" i="3" a="1"/>
  <c r="BA10" i="3"/>
  <c r="AY10" i="3" a="1"/>
  <c r="AY10" i="3"/>
  <c r="AX10" i="3" a="1"/>
  <c r="AX10" i="3"/>
  <c r="AW10" i="3" a="1"/>
  <c r="AW10" i="3" s="1"/>
  <c r="AZ10" i="3" s="1"/>
  <c r="AU10" i="3" a="1"/>
  <c r="AU10" i="3"/>
  <c r="AT10" i="3" a="1"/>
  <c r="AT10" i="3"/>
  <c r="AR10" i="3" a="1"/>
  <c r="AR10" i="3" s="1"/>
  <c r="AP10" i="3" a="1"/>
  <c r="AP10" i="3"/>
  <c r="AO10" i="3" a="1"/>
  <c r="AO10" i="3"/>
  <c r="AN10" i="3" a="1"/>
  <c r="AN10" i="3"/>
  <c r="AQ10" i="3" s="1"/>
  <c r="AS10" i="3" s="1"/>
  <c r="AV10" i="3" s="1"/>
  <c r="AL10" i="3" a="1"/>
  <c r="AL10" i="3"/>
  <c r="AK10" i="3" a="1"/>
  <c r="AK10" i="3" s="1"/>
  <c r="AJ10" i="3" a="1"/>
  <c r="AJ10" i="3" s="1"/>
  <c r="AM10" i="3" s="1"/>
  <c r="BH9" i="3" a="1"/>
  <c r="BH9" i="3"/>
  <c r="BG9" i="3" a="1"/>
  <c r="BG9" i="3" s="1"/>
  <c r="BE9" i="3" a="1"/>
  <c r="BE9" i="3" s="1"/>
  <c r="BC9" i="3" a="1"/>
  <c r="BC9" i="3"/>
  <c r="BB9" i="3" a="1"/>
  <c r="BB9" i="3"/>
  <c r="BA9" i="3" a="1"/>
  <c r="BA9" i="3"/>
  <c r="BD9" i="3" s="1"/>
  <c r="AY9" i="3" a="1"/>
  <c r="AY9" i="3" s="1"/>
  <c r="AY38" i="3" s="1"/>
  <c r="AX9" i="3" a="1"/>
  <c r="AX9" i="3" s="1"/>
  <c r="AW9" i="3" a="1"/>
  <c r="AW9" i="3" s="1"/>
  <c r="AU9" i="3" a="1"/>
  <c r="AU9" i="3"/>
  <c r="AT9" i="3" a="1"/>
  <c r="AT9" i="3" s="1"/>
  <c r="AR9" i="3" a="1"/>
  <c r="AR9" i="3"/>
  <c r="AP9" i="3" a="1"/>
  <c r="AP9" i="3"/>
  <c r="AO9" i="3" a="1"/>
  <c r="AO9" i="3"/>
  <c r="AN9" i="3" a="1"/>
  <c r="AN9" i="3"/>
  <c r="AQ9" i="3" s="1"/>
  <c r="AL9" i="3" a="1"/>
  <c r="AL9" i="3"/>
  <c r="AK9" i="3" a="1"/>
  <c r="AK9" i="3" s="1"/>
  <c r="AJ9" i="3" a="1"/>
  <c r="AJ9" i="3"/>
  <c r="BC38" i="3" l="1"/>
  <c r="G51" i="3"/>
  <c r="G54" i="3" s="1"/>
  <c r="BF33" i="3"/>
  <c r="BI33" i="3" s="1"/>
  <c r="BI13" i="3"/>
  <c r="AS24" i="3"/>
  <c r="AV24" i="3" s="1"/>
  <c r="AZ27" i="3"/>
  <c r="BF27" i="3" s="1"/>
  <c r="BI27" i="3" s="1"/>
  <c r="U58" i="3"/>
  <c r="U64" i="3" s="1"/>
  <c r="U67" i="3" s="1"/>
  <c r="BD33" i="3"/>
  <c r="T64" i="3"/>
  <c r="T67" i="3" s="1"/>
  <c r="AJ57" i="3"/>
  <c r="AM9" i="3"/>
  <c r="AJ38" i="3"/>
  <c r="BF21" i="3"/>
  <c r="BI21" i="3" s="1"/>
  <c r="AJ48" i="3"/>
  <c r="BF23" i="3"/>
  <c r="BI23" i="3" s="1"/>
  <c r="AM27" i="3"/>
  <c r="AS27" i="3" s="1"/>
  <c r="AV27" i="3" s="1"/>
  <c r="M64" i="3"/>
  <c r="M67" i="3" s="1"/>
  <c r="AS15" i="3"/>
  <c r="AV15" i="3" s="1"/>
  <c r="BD22" i="3"/>
  <c r="BD38" i="3" s="1"/>
  <c r="F72" i="3" s="1"/>
  <c r="BD25" i="3"/>
  <c r="BF25" i="3" s="1"/>
  <c r="BI25" i="3" s="1"/>
  <c r="BB38" i="3"/>
  <c r="R51" i="3"/>
  <c r="R54" i="3" s="1"/>
  <c r="BE38" i="3"/>
  <c r="F73" i="3" s="1"/>
  <c r="AS21" i="3"/>
  <c r="AV21" i="3" s="1"/>
  <c r="AJ44" i="3"/>
  <c r="J51" i="3"/>
  <c r="J54" i="3" s="1"/>
  <c r="AO38" i="3"/>
  <c r="BG38" i="3"/>
  <c r="F75" i="3" s="1"/>
  <c r="BF10" i="3"/>
  <c r="BI10" i="3" s="1"/>
  <c r="BF26" i="3"/>
  <c r="BI26" i="3" s="1"/>
  <c r="AI51" i="3"/>
  <c r="AI54" i="3" s="1"/>
  <c r="AW38" i="3"/>
  <c r="AZ9" i="3"/>
  <c r="AX38" i="3"/>
  <c r="AS17" i="3"/>
  <c r="AV17" i="3" s="1"/>
  <c r="AS30" i="3"/>
  <c r="AV30" i="3" s="1"/>
  <c r="AJ63" i="3"/>
  <c r="BF31" i="3"/>
  <c r="BI31" i="3" s="1"/>
  <c r="AS14" i="3"/>
  <c r="AV14" i="3" s="1"/>
  <c r="AQ25" i="3"/>
  <c r="AS25" i="3" s="1"/>
  <c r="AV25" i="3" s="1"/>
  <c r="H45" i="3"/>
  <c r="H51" i="3" s="1"/>
  <c r="H54" i="3" s="1"/>
  <c r="AJ53" i="3"/>
  <c r="AC64" i="3"/>
  <c r="AC67" i="3" s="1"/>
  <c r="AB64" i="3"/>
  <c r="AB67" i="3" s="1"/>
  <c r="AS32" i="3"/>
  <c r="AV32" i="3" s="1"/>
  <c r="AR38" i="3"/>
  <c r="E73" i="3" s="1"/>
  <c r="G73" i="3" s="1"/>
  <c r="AQ23" i="3"/>
  <c r="AQ38" i="3" s="1"/>
  <c r="E72" i="3" s="1"/>
  <c r="G72" i="3" s="1"/>
  <c r="BF29" i="3"/>
  <c r="BI29" i="3" s="1"/>
  <c r="L64" i="3"/>
  <c r="L67" i="3" s="1"/>
  <c r="BF19" i="3"/>
  <c r="BI19" i="3" s="1"/>
  <c r="BF24" i="3"/>
  <c r="BI24" i="3" s="1"/>
  <c r="BD10" i="3"/>
  <c r="BD26" i="3"/>
  <c r="AQ30" i="3"/>
  <c r="H49" i="3"/>
  <c r="AJ46" i="3"/>
  <c r="AS33" i="3"/>
  <c r="AV33" i="3" s="1"/>
  <c r="AT38" i="3"/>
  <c r="E75" i="3" s="1"/>
  <c r="BF11" i="3"/>
  <c r="BI11" i="3" s="1"/>
  <c r="AM26" i="3"/>
  <c r="AS26" i="3" s="1"/>
  <c r="AV26" i="3" s="1"/>
  <c r="X45" i="3"/>
  <c r="AJ50" i="3"/>
  <c r="H58" i="3"/>
  <c r="H64" i="3" s="1"/>
  <c r="H67" i="3" s="1"/>
  <c r="S62" i="3"/>
  <c r="BH38" i="3"/>
  <c r="F76" i="3" s="1"/>
  <c r="AU38" i="3"/>
  <c r="E76" i="3" s="1"/>
  <c r="AQ14" i="3"/>
  <c r="AQ28" i="3"/>
  <c r="AS31" i="3"/>
  <c r="AV31" i="3" s="1"/>
  <c r="K45" i="3"/>
  <c r="K51" i="3" s="1"/>
  <c r="K54" i="3" s="1"/>
  <c r="AE67" i="3"/>
  <c r="M45" i="3"/>
  <c r="S58" i="3"/>
  <c r="S64" i="3" s="1"/>
  <c r="S67" i="3" s="1"/>
  <c r="BA38" i="3"/>
  <c r="S49" i="3"/>
  <c r="S51" i="3" s="1"/>
  <c r="S54" i="3" s="1"/>
  <c r="I62" i="3"/>
  <c r="I64" i="3" s="1"/>
  <c r="I67" i="3" s="1"/>
  <c r="AK38" i="3"/>
  <c r="O58" i="3"/>
  <c r="O64" i="3" s="1"/>
  <c r="O67" i="3" s="1"/>
  <c r="AL38" i="3"/>
  <c r="Q45" i="3"/>
  <c r="Q51" i="3" s="1"/>
  <c r="Q54" i="3" s="1"/>
  <c r="AF49" i="3"/>
  <c r="AF51" i="3" s="1"/>
  <c r="AF54" i="3" s="1"/>
  <c r="K58" i="3"/>
  <c r="K64" i="3" s="1"/>
  <c r="K67" i="3" s="1"/>
  <c r="AG58" i="3"/>
  <c r="AG64" i="3" s="1"/>
  <c r="AG67" i="3" s="1"/>
  <c r="L62" i="3"/>
  <c r="AZ35" i="3"/>
  <c r="BF35" i="3" s="1"/>
  <c r="BI35" i="3" s="1"/>
  <c r="U45" i="3"/>
  <c r="U51" i="3" s="1"/>
  <c r="U54" i="3" s="1"/>
  <c r="X49" i="3"/>
  <c r="AI49" i="3"/>
  <c r="AI58" i="3"/>
  <c r="P62" i="3"/>
  <c r="AS18" i="3"/>
  <c r="AV18" i="3" s="1"/>
  <c r="BF20" i="3"/>
  <c r="BI20" i="3" s="1"/>
  <c r="M49" i="3"/>
  <c r="Y58" i="3"/>
  <c r="Y64" i="3" s="1"/>
  <c r="Y67" i="3" s="1"/>
  <c r="AJ56" i="3"/>
  <c r="W64" i="3"/>
  <c r="W67" i="3" s="1"/>
  <c r="Q62" i="3"/>
  <c r="AF62" i="3"/>
  <c r="AF64" i="3" s="1"/>
  <c r="AF67" i="3" s="1"/>
  <c r="E51" i="3"/>
  <c r="AJ45" i="3"/>
  <c r="AJ65" i="3"/>
  <c r="AZ22" i="3"/>
  <c r="BF22" i="3" s="1"/>
  <c r="BI22" i="3" s="1"/>
  <c r="BF30" i="3"/>
  <c r="BI30" i="3" s="1"/>
  <c r="AN38" i="3"/>
  <c r="V45" i="3"/>
  <c r="V51" i="3" s="1"/>
  <c r="V54" i="3" s="1"/>
  <c r="Y49" i="3"/>
  <c r="AJ47" i="3"/>
  <c r="R62" i="3"/>
  <c r="AJ61" i="3"/>
  <c r="AP38" i="3"/>
  <c r="AJ42" i="3"/>
  <c r="Z49" i="3"/>
  <c r="Z51" i="3" s="1"/>
  <c r="Z54" i="3" s="1"/>
  <c r="Z58" i="3"/>
  <c r="Z64" i="3" s="1"/>
  <c r="Z67" i="3" s="1"/>
  <c r="V64" i="3"/>
  <c r="V67" i="3" s="1"/>
  <c r="AH62" i="3"/>
  <c r="AH64" i="3" s="1"/>
  <c r="AH67" i="3" s="1"/>
  <c r="T45" i="3"/>
  <c r="T51" i="3" s="1"/>
  <c r="T54" i="3" s="1"/>
  <c r="L49" i="3"/>
  <c r="AJ43" i="3"/>
  <c r="O49" i="3"/>
  <c r="O51" i="3" s="1"/>
  <c r="O54" i="3" s="1"/>
  <c r="G49" i="3"/>
  <c r="AA58" i="3"/>
  <c r="AA64" i="3" s="1"/>
  <c r="AA67" i="3" s="1"/>
  <c r="BF15" i="3"/>
  <c r="BI15" i="3" s="1"/>
  <c r="AM34" i="3"/>
  <c r="AS34" i="3" s="1"/>
  <c r="AV34" i="3" s="1"/>
  <c r="AM28" i="3"/>
  <c r="AS28" i="3" s="1"/>
  <c r="AV28" i="3" s="1"/>
  <c r="P49" i="3"/>
  <c r="P51" i="3" s="1"/>
  <c r="P54" i="3" s="1"/>
  <c r="E58" i="3"/>
  <c r="P58" i="3"/>
  <c r="P64" i="3" s="1"/>
  <c r="P67" i="3" s="1"/>
  <c r="T62" i="3"/>
  <c r="AI62" i="3"/>
  <c r="AC62" i="3"/>
  <c r="AG45" i="3"/>
  <c r="AG51" i="3" s="1"/>
  <c r="AG54" i="3" s="1"/>
  <c r="AZ32" i="3"/>
  <c r="BF32" i="3" s="1"/>
  <c r="BI32" i="3" s="1"/>
  <c r="E49" i="3"/>
  <c r="Q58" i="3"/>
  <c r="Q64" i="3" s="1"/>
  <c r="Q67" i="3" s="1"/>
  <c r="E62" i="3"/>
  <c r="AJ62" i="3" s="1"/>
  <c r="AJ59" i="3"/>
  <c r="AJ60" i="3"/>
  <c r="AS13" i="3"/>
  <c r="AV13" i="3" s="1"/>
  <c r="L45" i="3"/>
  <c r="Y45" i="3"/>
  <c r="F58" i="3"/>
  <c r="F64" i="3" s="1"/>
  <c r="F67" i="3" s="1"/>
  <c r="J64" i="3"/>
  <c r="J67" i="3" s="1"/>
  <c r="AJ66" i="3"/>
  <c r="AZ17" i="3"/>
  <c r="BF17" i="3" s="1"/>
  <c r="BI17" i="3" s="1"/>
  <c r="G58" i="3"/>
  <c r="G64" i="3" s="1"/>
  <c r="G67" i="3" s="1"/>
  <c r="R58" i="3"/>
  <c r="R64" i="3" s="1"/>
  <c r="R67" i="3" s="1"/>
  <c r="AJ55" i="3"/>
  <c r="E64" i="3" l="1"/>
  <c r="AJ58" i="3"/>
  <c r="M51" i="3"/>
  <c r="M54" i="3" s="1"/>
  <c r="AS23" i="3"/>
  <c r="AV23" i="3" s="1"/>
  <c r="G76" i="3"/>
  <c r="X51" i="3"/>
  <c r="X54" i="3" s="1"/>
  <c r="AI64" i="3"/>
  <c r="AI67" i="3" s="1"/>
  <c r="E54" i="3"/>
  <c r="AM38" i="3"/>
  <c r="E71" i="3" s="1"/>
  <c r="AS9" i="3"/>
  <c r="AJ49" i="3"/>
  <c r="Y51" i="3"/>
  <c r="Y54" i="3" s="1"/>
  <c r="AZ38" i="3"/>
  <c r="F71" i="3" s="1"/>
  <c r="F74" i="3" s="1"/>
  <c r="F77" i="3" s="1"/>
  <c r="BF9" i="3"/>
  <c r="L51" i="3"/>
  <c r="L54" i="3" s="1"/>
  <c r="G75" i="3"/>
  <c r="E74" i="3" l="1"/>
  <c r="G71" i="3"/>
  <c r="BF38" i="3"/>
  <c r="BI9" i="3"/>
  <c r="BI38" i="3" s="1"/>
  <c r="AJ54" i="3"/>
  <c r="AS38" i="3"/>
  <c r="AV9" i="3"/>
  <c r="AV38" i="3" s="1"/>
  <c r="AJ51" i="3"/>
  <c r="E67" i="3"/>
  <c r="AJ67" i="3" s="1"/>
  <c r="AJ64" i="3"/>
  <c r="E77" i="3" l="1"/>
  <c r="G77" i="3" s="1"/>
  <c r="G74" i="3"/>
</calcChain>
</file>

<file path=xl/comments1.xml><?xml version="1.0" encoding="utf-8"?>
<comments xmlns="http://schemas.openxmlformats.org/spreadsheetml/2006/main">
  <authors>
    <author/>
  </authors>
  <commentList>
    <comment ref="J16" authorId="0" shapeId="0">
      <text>
        <r>
          <rPr>
            <sz val="11"/>
            <color theme="1"/>
            <rFont val="Calibri"/>
            <family val="2"/>
            <scheme val="minor"/>
          </rPr>
          <t>9H
======</t>
        </r>
      </text>
    </comment>
    <comment ref="J38" authorId="0" shapeId="0">
      <text>
        <r>
          <rPr>
            <sz val="11"/>
            <color theme="1"/>
            <rFont val="Calibri"/>
            <family val="2"/>
            <scheme val="minor"/>
          </rPr>
          <t>9-13h
======</t>
        </r>
      </text>
    </comment>
  </commentList>
</comments>
</file>

<file path=xl/sharedStrings.xml><?xml version="1.0" encoding="utf-8"?>
<sst xmlns="http://schemas.openxmlformats.org/spreadsheetml/2006/main" count="2497" uniqueCount="568">
  <si>
    <t>CÔNG TY TNHHTM-DV</t>
  </si>
  <si>
    <t>TRƯỜNG MINH</t>
  </si>
  <si>
    <t>CỘNG HÒA XÃ HỘI CHỦ NGHĨA VIỆT NAM</t>
  </si>
  <si>
    <t>Độc Lập - Tự Do - Hạnh Phúc</t>
  </si>
  <si>
    <t>BẢNG CHẤM CÔNG ĐTV  CỦA CÔNG TY TNHH TMDV TRƯỜNG MINH</t>
  </si>
  <si>
    <t>Ngày</t>
  </si>
  <si>
    <t>Công Ngày Thường</t>
  </si>
  <si>
    <t>STT</t>
  </si>
  <si>
    <t>Đối tác</t>
  </si>
  <si>
    <t>Mã số</t>
  </si>
  <si>
    <t>Họ tên</t>
  </si>
  <si>
    <t>Mã CV</t>
  </si>
  <si>
    <t>Công Ca 1</t>
  </si>
  <si>
    <t>Công Ca S1</t>
  </si>
  <si>
    <t>Công Ca S2</t>
  </si>
  <si>
    <t>Công Ca 2</t>
  </si>
  <si>
    <t>Công Ca C1</t>
  </si>
  <si>
    <t>Công Ca H2</t>
  </si>
  <si>
    <t>Công Ca H3</t>
  </si>
  <si>
    <t>Công Ca C2</t>
  </si>
  <si>
    <t>Công Ca HC</t>
  </si>
  <si>
    <t>Tổng Công</t>
  </si>
  <si>
    <t>Ghi chú</t>
  </si>
  <si>
    <t>Ký nhận</t>
  </si>
  <si>
    <t>TM</t>
  </si>
  <si>
    <t>KT</t>
  </si>
  <si>
    <t>S2</t>
  </si>
  <si>
    <t>1, C1</t>
  </si>
  <si>
    <t>S2, C1</t>
  </si>
  <si>
    <t>HC</t>
  </si>
  <si>
    <t>C1, C2</t>
  </si>
  <si>
    <t>Đoàn Thị Quyền Trân</t>
  </si>
  <si>
    <t>2, S2</t>
  </si>
  <si>
    <t>C1</t>
  </si>
  <si>
    <t>3, C2</t>
  </si>
  <si>
    <t>C2</t>
  </si>
  <si>
    <t>Phạm Nguyễn Quỳnh Như</t>
  </si>
  <si>
    <t>Nguyễn Thị Thanh Phương</t>
  </si>
  <si>
    <t>KTKD</t>
  </si>
  <si>
    <t>Võ Khánh Huy</t>
  </si>
  <si>
    <t>Nguyễn Thị Thùy Trang</t>
  </si>
  <si>
    <t>Trần Thủy Tú Anh</t>
  </si>
  <si>
    <t>Lê Thị Thanh Thuỷ</t>
  </si>
  <si>
    <t>Trần Thiện Đức</t>
  </si>
  <si>
    <t>Mai Thị Trinh</t>
  </si>
  <si>
    <t>Viên Quang Duy</t>
  </si>
  <si>
    <t>Lê Ngọc Thảo Nhi</t>
  </si>
  <si>
    <t>Nguyễn Quỳnh Như</t>
  </si>
  <si>
    <t>Huỳnh Nguyễn Phương Thảo</t>
  </si>
  <si>
    <t>Nguyễn Thị Kim Ngà</t>
  </si>
  <si>
    <t>Mai Thị Thanh Vân</t>
  </si>
  <si>
    <t>Huỳnh Thị Ngọc Mến</t>
  </si>
  <si>
    <t>Nguyễn Minh Trí</t>
  </si>
  <si>
    <t>Nguyễn Thị Ngọc Anh</t>
  </si>
  <si>
    <t>Nguyễn Thị Bình An</t>
  </si>
  <si>
    <t>Lý Ngọc Mỹ Hạnh</t>
  </si>
  <si>
    <t>Dương Quốc Minh</t>
  </si>
  <si>
    <t>Trần Tấn Phát</t>
  </si>
  <si>
    <t>Nguyễn Thảo Linh</t>
  </si>
  <si>
    <t>Lê Chí Lớn</t>
  </si>
  <si>
    <t>Nguyễn Thị Thu Thảo</t>
  </si>
  <si>
    <t>Nguyễn Thanh Thảo</t>
  </si>
  <si>
    <t>Trần Thiện Mỹ Ngọc</t>
  </si>
  <si>
    <t>Nguyễn Thị Ngọc Linh</t>
  </si>
  <si>
    <t>Đỗ Lê Thuỳ Ngân</t>
  </si>
  <si>
    <t>Lê Đức Anh</t>
  </si>
  <si>
    <t>Cao Lệ Huỳnh</t>
  </si>
  <si>
    <t>Vũ Nam Phương</t>
  </si>
  <si>
    <t>Lộ Như Ý</t>
  </si>
  <si>
    <t>Tổng Line KT</t>
  </si>
  <si>
    <t>Tổng Line KTKD</t>
  </si>
  <si>
    <t>Ngày thường</t>
  </si>
  <si>
    <t>Line KT</t>
  </si>
  <si>
    <t>H3</t>
  </si>
  <si>
    <t>Line KTKD</t>
  </si>
  <si>
    <t>Vào các ngày nghỉ lễ theo chế độ Nhà nước trong tháng: sẽ bổ sung ký hiệu “L” (Lễ) trước ca trực thông thường để thuận tiện theo dõi, đối soát</t>
  </si>
  <si>
    <t>Ca</t>
  </si>
  <si>
    <t>Ngày lễ</t>
  </si>
  <si>
    <t>Tổng</t>
  </si>
  <si>
    <t>Thời gian bắt đầu</t>
  </si>
  <si>
    <t>Thời gian kết thúc</t>
  </si>
  <si>
    <t>Tổng ca 1,2,HC</t>
  </si>
  <si>
    <t>Ca 1</t>
  </si>
  <si>
    <t>8h</t>
  </si>
  <si>
    <t>Ca H3</t>
  </si>
  <si>
    <t>3h</t>
  </si>
  <si>
    <t>Công Ca 3</t>
  </si>
  <si>
    <t>Ca S1</t>
  </si>
  <si>
    <t>4h</t>
  </si>
  <si>
    <t>Ca HC</t>
  </si>
  <si>
    <t>8h (không tính nghỉ giữa ca)</t>
  </si>
  <si>
    <t>Ca S2</t>
  </si>
  <si>
    <t>Ca 3</t>
  </si>
  <si>
    <t>Ca 2</t>
  </si>
  <si>
    <t>Ca C1</t>
  </si>
  <si>
    <t>Ca C2</t>
  </si>
  <si>
    <t>Tổng KT + KTKD</t>
  </si>
  <si>
    <t>Ca C1H1</t>
  </si>
  <si>
    <t>1h</t>
  </si>
  <si>
    <t>Ca Trực</t>
  </si>
  <si>
    <t>Thời Gian</t>
  </si>
  <si>
    <t>Quy Đổi Số Công</t>
  </si>
  <si>
    <t>07g30-16g30</t>
  </si>
  <si>
    <t>H1</t>
  </si>
  <si>
    <t>1/8HC</t>
  </si>
  <si>
    <t>H2</t>
  </si>
  <si>
    <t>16g30-17g30</t>
  </si>
  <si>
    <t>16g30-18g30</t>
  </si>
  <si>
    <t>2/8HC</t>
  </si>
  <si>
    <t>16g30-19g30</t>
  </si>
  <si>
    <t>3/8HC</t>
  </si>
  <si>
    <t>06g00-14g00</t>
  </si>
  <si>
    <t>S1</t>
  </si>
  <si>
    <t>06g00-10g00</t>
  </si>
  <si>
    <t>1/2 Ca 1</t>
  </si>
  <si>
    <t>S1H1</t>
  </si>
  <si>
    <t>06g00-07g00</t>
  </si>
  <si>
    <t>1/8 Ca 1</t>
  </si>
  <si>
    <t>S1H2</t>
  </si>
  <si>
    <t>06g00-08g00</t>
  </si>
  <si>
    <t>2/8 Ca 1</t>
  </si>
  <si>
    <t>S1H3</t>
  </si>
  <si>
    <t>06g00-09g00</t>
  </si>
  <si>
    <t>3/8 Ca 1</t>
  </si>
  <si>
    <t>10g00-14g00</t>
  </si>
  <si>
    <t>S2H1</t>
  </si>
  <si>
    <t>10g00-11g00</t>
  </si>
  <si>
    <t>S2H2</t>
  </si>
  <si>
    <t>10g00-12g00</t>
  </si>
  <si>
    <t>S2H3</t>
  </si>
  <si>
    <t>10g00-13g00</t>
  </si>
  <si>
    <t>14g00-22h00</t>
  </si>
  <si>
    <t>14g00-18h00</t>
  </si>
  <si>
    <t>1/1 Ca 2</t>
  </si>
  <si>
    <t>C1H1</t>
  </si>
  <si>
    <t>14g00-15h00</t>
  </si>
  <si>
    <t>1/8 Ca 2</t>
  </si>
  <si>
    <t>C1H2</t>
  </si>
  <si>
    <t>14g00-16h00</t>
  </si>
  <si>
    <t>2/8 Ca 2</t>
  </si>
  <si>
    <t>C1H3</t>
  </si>
  <si>
    <t>14g00-17h00</t>
  </si>
  <si>
    <t>3/8 Ca 2</t>
  </si>
  <si>
    <t>18g00-22g00</t>
  </si>
  <si>
    <t>1/2 Ca 2</t>
  </si>
  <si>
    <t>C2H1</t>
  </si>
  <si>
    <t>18g00-19g00</t>
  </si>
  <si>
    <t>C2H2</t>
  </si>
  <si>
    <t>18g00-20g00</t>
  </si>
  <si>
    <t>C2H3</t>
  </si>
  <si>
    <t>18g00-21g00</t>
  </si>
  <si>
    <t>22g00-06g00</t>
  </si>
  <si>
    <t>T1</t>
  </si>
  <si>
    <t>22g00-02g00</t>
  </si>
  <si>
    <t>1/2 Ca 3</t>
  </si>
  <si>
    <t>T1H1</t>
  </si>
  <si>
    <t>22g00-23g00</t>
  </si>
  <si>
    <t>1/8 Ca 3</t>
  </si>
  <si>
    <t>T1H2</t>
  </si>
  <si>
    <t>22g00-24g00</t>
  </si>
  <si>
    <t>2/8 Ca 3</t>
  </si>
  <si>
    <t>T1H3</t>
  </si>
  <si>
    <t>22g00-01g00</t>
  </si>
  <si>
    <t>3/8 Ca 3</t>
  </si>
  <si>
    <t>T2</t>
  </si>
  <si>
    <t>02g00-06g00</t>
  </si>
  <si>
    <t>T2H1</t>
  </si>
  <si>
    <t>02g00-03g00</t>
  </si>
  <si>
    <t>T2H2</t>
  </si>
  <si>
    <t>02g00-04g00</t>
  </si>
  <si>
    <t>T2H3</t>
  </si>
  <si>
    <t>02g00-05g00</t>
  </si>
  <si>
    <t>TRUNG TÂM CHĂM SÓC KHÁCH HÀNG</t>
  </si>
  <si>
    <t>ĐỘI CHĂM SÓC KHÁCH HÀNG</t>
  </si>
  <si>
    <t>Độc lập - Tự do - Hạnh phúc</t>
  </si>
  <si>
    <t>BẢNG CHẤM CÔNG THUÊ ĐIỆN THOẠI VIÊN THÁNG 01/2025</t>
  </si>
  <si>
    <t>CÔNG TY  CỔ PHẦN  TRUYỀN THÔNG KIM CƯƠNG</t>
  </si>
  <si>
    <t>Công ngày thường</t>
  </si>
  <si>
    <t>Công ngày lễ</t>
  </si>
  <si>
    <t>Stt</t>
  </si>
  <si>
    <t xml:space="preserve">   Họ và tên</t>
  </si>
  <si>
    <t>Công Ca 1, S1, S2 (1)</t>
  </si>
  <si>
    <t>Công C1</t>
  </si>
  <si>
    <t>Công C2</t>
  </si>
  <si>
    <t>Công Ca 2, C1, C2 (2)</t>
  </si>
  <si>
    <t>Công Ca HC (3)</t>
  </si>
  <si>
    <t>Tổng (1)+(2)+(3)</t>
  </si>
  <si>
    <t>Công Ca HCKT</t>
  </si>
  <si>
    <t>KC</t>
  </si>
  <si>
    <t>Võ Kiều Chinh</t>
  </si>
  <si>
    <t>L C1, S2</t>
  </si>
  <si>
    <t>L 1</t>
  </si>
  <si>
    <t>Trần Quế Ngọc</t>
  </si>
  <si>
    <t>C1, S2</t>
  </si>
  <si>
    <t>Lê Thị Hương Lan</t>
  </si>
  <si>
    <t>Chu Ngọc Minh Tuyền</t>
  </si>
  <si>
    <t>L C2</t>
  </si>
  <si>
    <t>L S2</t>
  </si>
  <si>
    <t>L 2</t>
  </si>
  <si>
    <t>L 2, S2</t>
  </si>
  <si>
    <t>Trương Thanh Phương</t>
  </si>
  <si>
    <t>Đinh Thị Thu Thanh</t>
  </si>
  <si>
    <t>L HC</t>
  </si>
  <si>
    <t>Võ Phạm Thùy Trang</t>
  </si>
  <si>
    <t>Trần Thị Bích Vân</t>
  </si>
  <si>
    <t>Nguyễn Hoàng Thảo Chi</t>
  </si>
  <si>
    <t>Nghỉ thai sản</t>
  </si>
  <si>
    <t>Mai Quốc Việt</t>
  </si>
  <si>
    <t>L 3</t>
  </si>
  <si>
    <t>Nguyễn Xuân Khoa</t>
  </si>
  <si>
    <t>Nguyễn Thị Thu Hương</t>
  </si>
  <si>
    <t>Trần Thị Ngọc Thu</t>
  </si>
  <si>
    <t>L 3, C2</t>
  </si>
  <si>
    <t>Dương Nguyễn Hà Thanh</t>
  </si>
  <si>
    <t>Nguyễn Trần Phát</t>
  </si>
  <si>
    <t>Nguyễn Thị Thanh Hằng</t>
  </si>
  <si>
    <t>Bùi Thảo Trang</t>
  </si>
  <si>
    <t>Nghri thai sản</t>
  </si>
  <si>
    <t>Vũ Thiệu Diễn</t>
  </si>
  <si>
    <t>Lê Bình Dương</t>
  </si>
  <si>
    <t>Vũ Sala Vy( KT)</t>
  </si>
  <si>
    <t>Nguyễn Lê Thu Hương</t>
  </si>
  <si>
    <t>Trần Phú Triễn</t>
  </si>
  <si>
    <t>Phùng Ngọc Gấm</t>
  </si>
  <si>
    <t>Nguyễn Thị Thúy Hằng</t>
  </si>
  <si>
    <t>Trần Lê Quỳnh Na</t>
  </si>
  <si>
    <t>Nguyễn Thị Xuân Hồng</t>
  </si>
  <si>
    <t>Trần Ngọc Phương Thảo</t>
  </si>
  <si>
    <t xml:space="preserve">                                  Ngày
  Công ca trực</t>
  </si>
  <si>
    <t>Ngày
thường</t>
  </si>
  <si>
    <t>Ngày
lễ</t>
  </si>
  <si>
    <t>* Công Ca 1</t>
  </si>
  <si>
    <t>* Công Ca 2</t>
  </si>
  <si>
    <t>* Công Ca HC</t>
  </si>
  <si>
    <t>Cộng</t>
  </si>
  <si>
    <t>Ca HCKT</t>
  </si>
  <si>
    <t>8h, line kỹ thuật</t>
  </si>
  <si>
    <t>Quận 1, ngày 03 tháng 01 năm 2025</t>
  </si>
  <si>
    <t>DUYỆT</t>
  </si>
  <si>
    <t>THÔNG QUA</t>
  </si>
  <si>
    <t>ĐỘI CSKH</t>
  </si>
  <si>
    <t>GIÁM ĐỐC</t>
  </si>
  <si>
    <t>PHÓ GIÁM ĐỐC</t>
  </si>
  <si>
    <t>ĐỘI TRƯỞNG</t>
  </si>
  <si>
    <t>Ngày 31  Tháng 05 Năm 2026</t>
  </si>
  <si>
    <t>Huỳnh Thanh Trúc</t>
  </si>
  <si>
    <t>Nguyễn Hữu Nhân</t>
  </si>
  <si>
    <t>Võ Thị Hồng Thắm</t>
  </si>
  <si>
    <t>Lê Nguyễn Hoài Thương</t>
  </si>
  <si>
    <t>Trương Ngọc Lợi</t>
  </si>
  <si>
    <t>H3, HC</t>
  </si>
  <si>
    <t>Nguyễn Sỹ Hoàng</t>
  </si>
  <si>
    <t>Nguyễn Thị Yến Nhi</t>
  </si>
  <si>
    <t>Nguyễn Thanh Luân</t>
  </si>
  <si>
    <t>Phan Nguyễn Hiền Linh</t>
  </si>
  <si>
    <t>Bùi Thị Hằng</t>
  </si>
  <si>
    <t>Thái Ngọc Lan</t>
  </si>
  <si>
    <t>NV</t>
  </si>
  <si>
    <t>H2, HC</t>
  </si>
  <si>
    <t>NTS</t>
  </si>
  <si>
    <t>CN2 - CÔNG TY CỔ PHẦN DVTM TRƯỜNG MINH</t>
  </si>
  <si>
    <t>Địa chỉ: Số 39B Trường Sơn, Phường Tân Sơn Nhất, TP. Hồ Chí Minh</t>
  </si>
  <si>
    <t xml:space="preserve"> </t>
  </si>
  <si>
    <t>BẢNG THANH TOÁN TIỀN LƯƠNG - DỰ ÁN EVN HCMC</t>
  </si>
  <si>
    <t>đến ngày</t>
  </si>
  <si>
    <t>ID</t>
  </si>
  <si>
    <t>Họ &amp; Tên</t>
  </si>
  <si>
    <t>HĐ</t>
  </si>
  <si>
    <t>Ngày bắt đầu làm việc</t>
  </si>
  <si>
    <t>Công chuẩn</t>
  </si>
  <si>
    <t>Công thực tế (CTT)</t>
  </si>
  <si>
    <t>Công chính</t>
  </si>
  <si>
    <t>Tăng ca (TC)</t>
  </si>
  <si>
    <t>Công chế độ</t>
  </si>
  <si>
    <t>Công trực Lễ/tết</t>
  </si>
  <si>
    <t>Số ngày nghỉ lễ/tết</t>
  </si>
  <si>
    <t xml:space="preserve">Công Ca Đêm </t>
  </si>
  <si>
    <t>Công HT Đào tạo</t>
  </si>
  <si>
    <t>Ngày nghỉ phép năm</t>
  </si>
  <si>
    <t>CGHT KNN</t>
  </si>
  <si>
    <t>Tiền học việc</t>
  </si>
  <si>
    <t>Lương theo CTT</t>
  </si>
  <si>
    <t>Tiền tăng ca</t>
  </si>
  <si>
    <t>Tiền trực lễ/tết</t>
  </si>
  <si>
    <t>Tiền nghỉ lễ/tết</t>
  </si>
  <si>
    <t>Tiền ca đêm</t>
  </si>
  <si>
    <t>Tiền lương chế độ</t>
  </si>
  <si>
    <t>Tiền Trách Nhiệm</t>
  </si>
  <si>
    <t>Tiền phép năm</t>
  </si>
  <si>
    <t>Thưởng Hoàn thành công việc</t>
  </si>
  <si>
    <t>Thưởng khuyến khích</t>
  </si>
  <si>
    <t>Hỗ trợ tiền ăn giữa ca</t>
  </si>
  <si>
    <t>Tiền thưởng HTKNN, CGKT</t>
  </si>
  <si>
    <t>Bổ sung lương
(Thưởng lễ 30/4)</t>
  </si>
  <si>
    <t>Tổng Lương</t>
  </si>
  <si>
    <t>Trừ các khoản BHXH</t>
  </si>
  <si>
    <t>Thu hộ</t>
  </si>
  <si>
    <t>Thuế TNCN</t>
  </si>
  <si>
    <t>Truy thu</t>
  </si>
  <si>
    <t>Tổng khấu trừ</t>
  </si>
  <si>
    <t>Tổng lương nhận</t>
  </si>
  <si>
    <t>Email</t>
  </si>
  <si>
    <t>Trần Thị Xuân Minh</t>
  </si>
  <si>
    <t>CT</t>
  </si>
  <si>
    <t>Trần Kim Hoài Xuân</t>
  </si>
  <si>
    <t>Võ Thị Cẩm Giang</t>
  </si>
  <si>
    <t>TV</t>
  </si>
  <si>
    <t>Phan Nguyễn Duy Khang</t>
  </si>
  <si>
    <t>Lê Minh Tiến</t>
  </si>
  <si>
    <t>Lưu Nguyễn Yến Linh</t>
  </si>
  <si>
    <t>Nguyễn Thị Thảo Nhung</t>
  </si>
  <si>
    <t>Phan Thị Minh Ngân</t>
  </si>
  <si>
    <t>Chính thức</t>
  </si>
  <si>
    <t>Thử việc</t>
  </si>
  <si>
    <t>EVN HCMC</t>
  </si>
  <si>
    <t>Đủ 26 công</t>
  </si>
  <si>
    <t>Chưa trừ BHXH</t>
  </si>
  <si>
    <t>Sau khi trừ BHXH</t>
  </si>
  <si>
    <t>GIỚI
 TÍNH</t>
  </si>
  <si>
    <t>NGÀY 
SINH</t>
  </si>
  <si>
    <t xml:space="preserve"> CMND</t>
  </si>
  <si>
    <t>ĐỊA CHỈ THƯỜNG TRÚ</t>
  </si>
  <si>
    <t>SỐ  ĐIỆN THOẠI</t>
  </si>
  <si>
    <t>Mail</t>
  </si>
  <si>
    <t>Bằng cấp</t>
  </si>
  <si>
    <t>Số</t>
  </si>
  <si>
    <t>Ngày cấp</t>
  </si>
  <si>
    <t>Nơi cấp</t>
  </si>
  <si>
    <t>046193011742</t>
  </si>
  <si>
    <t>Cục trưởng cục cảnh sát</t>
  </si>
  <si>
    <t>86/108 Âu Cơ , Phường 9, Tân Bình, Tp Hồ Chí Minh</t>
  </si>
  <si>
    <t>0862559139</t>
  </si>
  <si>
    <t>chgloetran233@gmail.com</t>
  </si>
  <si>
    <t>Đại Học</t>
  </si>
  <si>
    <t>096303002285</t>
  </si>
  <si>
    <t>Ấp Trại Lưới B , Lâm Hải , Năm Căn, Cà Mau</t>
  </si>
  <si>
    <t>0838721278</t>
  </si>
  <si>
    <t xml:space="preserve">doanquyentrannn@gmail.com </t>
  </si>
  <si>
    <t>Cao Đẳng</t>
  </si>
  <si>
    <t>083304005160</t>
  </si>
  <si>
    <t>Bộ Công An</t>
  </si>
  <si>
    <t>Ấp Vinh Huê , Lộc Thuận , Vĩnh Long</t>
  </si>
  <si>
    <t>tranxuan8124@gmail.com</t>
  </si>
  <si>
    <t>079191025124</t>
  </si>
  <si>
    <t>18/4A Thích Quảng Đức, P Đức Nhuận, Tp Hồ Chí Minh</t>
  </si>
  <si>
    <t>0327758135</t>
  </si>
  <si>
    <t>jashuynh2204@gmail.com</t>
  </si>
  <si>
    <t>Trung cấp</t>
  </si>
  <si>
    <t>086202009852</t>
  </si>
  <si>
    <t>162B/12 Bình Thuận 1, Xã An Bình, Vĩnh Long</t>
  </si>
  <si>
    <t>0703474913</t>
  </si>
  <si>
    <t>huunhannguyen3110@gmail.com</t>
  </si>
  <si>
    <t>083303000551</t>
  </si>
  <si>
    <t>153 Ấp 5 , Xã Hưng Nhượng, Tỉnh Vĩnh Long</t>
  </si>
  <si>
    <t>0352198291</t>
  </si>
  <si>
    <t>vothihongtham5205@gmail.com</t>
  </si>
  <si>
    <t>083304008404</t>
  </si>
  <si>
    <t>534 Hưng An Tây, Hưng Nhượng, Giồng Trôm, Bến Tre</t>
  </si>
  <si>
    <t>0342842453</t>
  </si>
  <si>
    <t>vothicamgiang24032004@gmail.com</t>
  </si>
  <si>
    <t>075302006039</t>
  </si>
  <si>
    <t>73/9 Hẻm 10 Chu Văn An , Long Khánh, Đồng Nai</t>
  </si>
  <si>
    <t>0369329346</t>
  </si>
  <si>
    <t>nhugau180102@gmail.com</t>
  </si>
  <si>
    <t>THPT</t>
  </si>
  <si>
    <t>114/123 Tô Ngọc Vân, phường An Hội Đông, Tp. Hồ Chí Minh</t>
  </si>
  <si>
    <t>duykhang8323@gmail.com</t>
  </si>
  <si>
    <t>Cao đẳng</t>
  </si>
  <si>
    <t>1098/108/3C Bến Vân Đồn, phường Khánh Hội, Tp. Hồ Chí Minh</t>
  </si>
  <si>
    <t>phuongntt.141990@gmail.com</t>
  </si>
  <si>
    <t>135 Lý Phục Man, phường Tân Thuận, Tp Hồ Chí Minh</t>
  </si>
  <si>
    <t>leminhtien020405@gmail.com</t>
  </si>
  <si>
    <t>Nhà lầu 2, Ninh Thạnh Lợi A, Hồng Dân, Bạc Liêu</t>
  </si>
  <si>
    <t>khanhhy22072003@gmail.com</t>
  </si>
  <si>
    <t>Đại học</t>
  </si>
  <si>
    <t>Thôn Nam Tân, xã Nâm N'Đir, huyện Krông Nô, Đăk Nông</t>
  </si>
  <si>
    <t>hoangnguyen132002@gmail.com</t>
  </si>
  <si>
    <t>293 Tân Kỳ, Tân Qúy, Tân Sơn Nhì, Tp. Hồ Chí Minh</t>
  </si>
  <si>
    <t>ngoclanthai2002@gmail.com</t>
  </si>
  <si>
    <t>38/8 Lý Tự Trọng, Tân An, Buôn Ma Thuột, Đăk Lăk</t>
  </si>
  <si>
    <t>yennhi29112004@gmail.com</t>
  </si>
  <si>
    <t>Khóm Hòa Long 1, TT An Châu, Châu Thành, An Giang</t>
  </si>
  <si>
    <t>nguyenthithuytrang301212@gmail.com</t>
  </si>
  <si>
    <t>262B Nguyễn Thị Minh Khai, phường Võ Thị Sáu, Tp. Hồ Chí Minh</t>
  </si>
  <si>
    <t>tranthuytuanh0403@gmail.com</t>
  </si>
  <si>
    <t>Cục cảnh sát QLHC về TTXH</t>
  </si>
  <si>
    <t>Thôn 7, xã Bom Bo, tỉnh Đồng Nai</t>
  </si>
  <si>
    <t>luunguyenyenlinh654@gmail.com</t>
  </si>
  <si>
    <t>15B/37 Lê Thánh Tôn, khu phố 4, phường Sài Gòn, TP.HCM</t>
  </si>
  <si>
    <t>nhungnguyentt98@gmail.com</t>
  </si>
  <si>
    <t>phường Khánh Hội, TP.HCM</t>
  </si>
  <si>
    <t>lenguyenhoaithuong041105@gmail.com</t>
  </si>
  <si>
    <t>950 Nguyễn Văn Linh, phường Tân Hưng, TP.HCM</t>
  </si>
  <si>
    <t>zyuli.2002@gmail.com</t>
  </si>
  <si>
    <t>27/06/1988</t>
  </si>
  <si>
    <t>083188003567</t>
  </si>
  <si>
    <t>21/12/2021</t>
  </si>
  <si>
    <t>304 B, Lê Quang Định, Phường 11, Bình Thạnh</t>
  </si>
  <si>
    <t xml:space="preserve"> 0914164174</t>
  </si>
  <si>
    <t>annguyen80523@gmail.com</t>
  </si>
  <si>
    <t>048203000110</t>
  </si>
  <si>
    <t>CCS QLHC Về TTXH</t>
  </si>
  <si>
    <t>Thôn Duyên Hưng, xã Nam Ninh, tỉnh Ninh Bình</t>
  </si>
  <si>
    <t>0973346334</t>
  </si>
  <si>
    <t>phuong.vunam22@gmail.com</t>
  </si>
  <si>
    <t>Cử nhân Khoa học máy tính</t>
  </si>
  <si>
    <t>086203004650</t>
  </si>
  <si>
    <t>Ấp Thạnh Lợi, Xã Thạnh Quới, Huyện Long Hồ, Tỉnh Vĩnh Long</t>
  </si>
  <si>
    <t>0374386211</t>
  </si>
  <si>
    <t>minhtringuyen0211@gmail.com</t>
  </si>
  <si>
    <t>051303001834</t>
  </si>
  <si>
    <t>TDP Phi Hiển, phường Đức Phổ, tỉnh Quảng Ngãi</t>
  </si>
  <si>
    <t>0965263631</t>
  </si>
  <si>
    <t>huynhthingocmenqn@gmail.com</t>
  </si>
  <si>
    <t>079191004937</t>
  </si>
  <si>
    <t>385D Nguyễn Trãi, P. Cầu Ông Lãnh, Tphcm</t>
  </si>
  <si>
    <t>0772641222</t>
  </si>
  <si>
    <t>thaowin2210@gmail.com</t>
  </si>
  <si>
    <t>079206005547</t>
  </si>
  <si>
    <t xml:space="preserve">72c/3 Đinh Tiên Hoàng, q1 </t>
  </si>
  <si>
    <t>0913909089</t>
  </si>
  <si>
    <t>trantanphat2004992006@gmail.com</t>
  </si>
  <si>
    <t>079305047022</t>
  </si>
  <si>
    <t>số nhà 54 đường 47, khu phố 58, phường Tân Thuận, TPHCM</t>
  </si>
  <si>
    <t>0964097777</t>
  </si>
  <si>
    <t>nguyenlinh010605@gmail.com</t>
  </si>
  <si>
    <t>084199005677</t>
  </si>
  <si>
    <t>Cây Cách , Bình Phú , Vĩnh Long</t>
  </si>
  <si>
    <t>0388604547</t>
  </si>
  <si>
    <t>nguyenngocanh0709@gmail.com</t>
  </si>
  <si>
    <t>079191024783</t>
  </si>
  <si>
    <t>Cần Giờ, TP HCM</t>
  </si>
  <si>
    <t>0345405787</t>
  </si>
  <si>
    <t>maivan0502@gmail.com</t>
  </si>
  <si>
    <t>079301022013</t>
  </si>
  <si>
    <t>Cục CS QLHC về TTTXH</t>
  </si>
  <si>
    <t>10.17 Chung Cư Nguyễn Ngọc Phương, Phường 19, Bình Thạnh, TP. Hồ Chí Minh</t>
  </si>
  <si>
    <t>0963000866</t>
  </si>
  <si>
    <t>thaonguyen.180801@gmail.com</t>
  </si>
  <si>
    <t>038099010368</t>
  </si>
  <si>
    <t>60/48 Nguyễn Công Trứ, phường Hạc Thành, tỉnh Thanh Hoá</t>
  </si>
  <si>
    <t>0911178138</t>
  </si>
  <si>
    <t>ducanh141611@gmail.com</t>
  </si>
  <si>
    <t>079303016812</t>
  </si>
  <si>
    <t>270B/4/22/5 Lý Thường Kiệt , P Tân Hòa, Quận Tân Bình, Tp Hồ Chí Minh</t>
  </si>
  <si>
    <t>0822482382</t>
  </si>
  <si>
    <t>lyhanh200203@gmail.com</t>
  </si>
  <si>
    <t>079097015711</t>
  </si>
  <si>
    <t>606/107 Đường 3/2 , Phường Diên Hồng , Tp Hồ Chí Minh</t>
  </si>
  <si>
    <t>0931015734</t>
  </si>
  <si>
    <t>erikminh.duong@gmail.com</t>
  </si>
  <si>
    <t>093095003072</t>
  </si>
  <si>
    <t>Ấp 5, Vĩnh Thuận Đông, Long Mỹ, Hậu Giang.</t>
  </si>
  <si>
    <t>0948655337</t>
  </si>
  <si>
    <t>ttduc.vog@gmail.com</t>
  </si>
  <si>
    <t>022199013868</t>
  </si>
  <si>
    <t>Tổ 54, khu 5 Cẩm Phú, Cẩm Phả, Quảng Ninh</t>
  </si>
  <si>
    <t>0356191666</t>
  </si>
  <si>
    <t>hangbui060199@gmail.com</t>
  </si>
  <si>
    <t>079200017609</t>
  </si>
  <si>
    <t>079190008378</t>
  </si>
  <si>
    <t>079205017497</t>
  </si>
  <si>
    <t>095203010954</t>
  </si>
  <si>
    <t>067202004619</t>
  </si>
  <si>
    <t>079300230973</t>
  </si>
  <si>
    <t>066304002171</t>
  </si>
  <si>
    <t>089303020297</t>
  </si>
  <si>
    <t>079303002132</t>
  </si>
  <si>
    <t>070303008541</t>
  </si>
  <si>
    <t>079198011468</t>
  </si>
  <si>
    <t>060305002458</t>
  </si>
  <si>
    <t>095302006496</t>
  </si>
  <si>
    <t>Nữ</t>
  </si>
  <si>
    <t>Nam</t>
  </si>
  <si>
    <t>0909967729</t>
  </si>
  <si>
    <t>0938106882</t>
  </si>
  <si>
    <t>0903392405</t>
  </si>
  <si>
    <t>0386710948</t>
  </si>
  <si>
    <t>0832912924</t>
  </si>
  <si>
    <t>0855751411</t>
  </si>
  <si>
    <t>0941328184</t>
  </si>
  <si>
    <t>0346794278</t>
  </si>
  <si>
    <t>0986608948</t>
  </si>
  <si>
    <t>0367801654</t>
  </si>
  <si>
    <t>0986298227</t>
  </si>
  <si>
    <t>0822288600</t>
  </si>
  <si>
    <t>0782700104</t>
  </si>
  <si>
    <t>0911180042</t>
  </si>
  <si>
    <t>080304001008</t>
  </si>
  <si>
    <t>Cục trưởng cục cảnh sát DKQL cư trú và DLQG về dân cư</t>
  </si>
  <si>
    <t>Bảy Ngàn, Tân Ninh, Tân Thạnh, Long An</t>
  </si>
  <si>
    <t>0915817384</t>
  </si>
  <si>
    <t>15/06/1992</t>
  </si>
  <si>
    <t>052192000178</t>
  </si>
  <si>
    <t>20/01/2022</t>
  </si>
  <si>
    <t>421/12 đường 48 , khu phố 6 , Phường Hiệp Bình Chánh, Quận Thủ Đức, Hồ Chí Minh</t>
  </si>
  <si>
    <t>0908610621</t>
  </si>
  <si>
    <t>072302000288</t>
  </si>
  <si>
    <t>18/04/2023</t>
  </si>
  <si>
    <t>Ấp Phước An, Phước Vinh, Châu Thành, Tây Ninh</t>
  </si>
  <si>
    <t>0363533573</t>
  </si>
  <si>
    <t>24/10/1986</t>
  </si>
  <si>
    <t>079186013184</t>
  </si>
  <si>
    <t>17/08/2021</t>
  </si>
  <si>
    <t>2/2A1 Hồ Xuân Hương, Phường 14, Quận Bình Thạnh, Hồ Chí Minh</t>
  </si>
  <si>
    <t>0946260674</t>
  </si>
  <si>
    <t>21/07/1993</t>
  </si>
  <si>
    <t>079093017748</t>
  </si>
  <si>
    <t>29/10/2007</t>
  </si>
  <si>
    <t>120/32A Trường Chinh, Phường 12, Quận Tân Bình, Hồ Chí Minh</t>
  </si>
  <si>
    <t>0326109202</t>
  </si>
  <si>
    <t>096197009091</t>
  </si>
  <si>
    <t>Ấp Cái Giếng, Xã Tân Hưng, Huyện Cái Nước, Cà Mau</t>
  </si>
  <si>
    <t>0587208801</t>
  </si>
  <si>
    <t>19/01/1999</t>
  </si>
  <si>
    <t>079199034959</t>
  </si>
  <si>
    <t>16/09/2021</t>
  </si>
  <si>
    <t>số 7 Nguyễn Du, KP2, Phường Hiệp Phú, Tp Thủ Đức, Hồ Chí Minh</t>
  </si>
  <si>
    <t>0396836927</t>
  </si>
  <si>
    <t>Tổ 7 Phú Thọ, Phú Chánh, Thị xã Tân Uyên, Bình Dương</t>
  </si>
  <si>
    <t>0823497392</t>
  </si>
  <si>
    <t>19/11/2001</t>
  </si>
  <si>
    <t>077301004118</t>
  </si>
  <si>
    <t>19/10/2017</t>
  </si>
  <si>
    <t>Thôn 5, Xã Long Sơn, Thành Phố Vũng Tàu, Bà Rịa Vũng Tàu</t>
  </si>
  <si>
    <t>0328822559</t>
  </si>
  <si>
    <t>27/03/1998</t>
  </si>
  <si>
    <t>082198010761</t>
  </si>
  <si>
    <t>0191 ấp Chợ Bến, Xã Bình Ân, Huyện Gò Công Đông, Tiền Giang</t>
  </si>
  <si>
    <t>0339442942</t>
  </si>
  <si>
    <t>34 Mai Thị Lựu, Phường Đakao, Quận 1, Hồ Chí Minh</t>
  </si>
  <si>
    <t>0906073098</t>
  </si>
  <si>
    <t>14/12/1987</t>
  </si>
  <si>
    <t>079187017649</t>
  </si>
  <si>
    <t>29/11/2021</t>
  </si>
  <si>
    <t>714/1 Đoàn Văn Bơ, Phường 16, Quận 4, Hồ Chí Minh</t>
  </si>
  <si>
    <t>0903338962</t>
  </si>
  <si>
    <t>095300008941</t>
  </si>
  <si>
    <t>14/08/2021</t>
  </si>
  <si>
    <t>Ấp 5, Xã Phong Tân, Huyện Giá Rai, Bạc Liêu</t>
  </si>
  <si>
    <t>086191000436</t>
  </si>
  <si>
    <t>19/02/2021</t>
  </si>
  <si>
    <t>1168/1/3, Lê Văn Lương, Phước Kiển, Nhà Bè, TPHCM</t>
  </si>
  <si>
    <t>0868535394</t>
  </si>
  <si>
    <t>27/02/1998</t>
  </si>
  <si>
    <t>080198010453</t>
  </si>
  <si>
    <t>18/03/2022</t>
  </si>
  <si>
    <t>222/4 Long Bình, Long Trì, Châu Thành, Long An</t>
  </si>
  <si>
    <t>0981878242</t>
  </si>
  <si>
    <t>074199002501</t>
  </si>
  <si>
    <t>079203010534</t>
  </si>
  <si>
    <t>0787855381</t>
  </si>
  <si>
    <t>Trịnh Khả Vân</t>
  </si>
  <si>
    <t>Công Ngày Lễ</t>
  </si>
  <si>
    <t>Công Ca H1</t>
  </si>
  <si>
    <t>Tổng ca 1,2,HC Line KT</t>
  </si>
  <si>
    <t>Công Ca 3 Line KT</t>
  </si>
  <si>
    <t>Tổng ca 1,2,HC Line KTKD</t>
  </si>
  <si>
    <t>Công Ca 3 Line KTKD</t>
  </si>
  <si>
    <t>Tổng Công Ngày Thường + Ngày Lễ</t>
  </si>
  <si>
    <t>Nguyễn Huỳnh Lan Khanh</t>
  </si>
  <si>
    <t>C1, C2, S2</t>
  </si>
  <si>
    <t>Nguyễn Trọng Trí</t>
  </si>
  <si>
    <t>Lê Thị Kim Hằng</t>
  </si>
  <si>
    <t>NV, NV</t>
  </si>
  <si>
    <t>H1, HC</t>
  </si>
  <si>
    <t>Nguyễn Lâm Tuyết Ngân</t>
  </si>
  <si>
    <t>THÁNG 06 NĂM 2026 (Tính từ ngày 01/06/2026 đến ngày 30/06/2026)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</si>
</sst>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\ _₫_-;\-* #,##0.00\ _₫_-;_-* &quot;-&quot;??\ _₫_-;_-@_-"/>
    <numFmt numFmtId="164" formatCode="_-* #,##0.0_-;\-* #,##0.0_-;_-* &quot;-&quot;??_-;_-@"/>
    <numFmt numFmtId="165" formatCode="_-* #,##0_-;\-* #,##0_-;_-* &quot;-&quot;??_-;_-@"/>
    <numFmt numFmtId="166" formatCode="0.000"/>
    <numFmt numFmtId="167" formatCode="_-* #,##0.0_-;\-* #,##0.0_-;_-* &quot;-&quot;?_-;_-@"/>
    <numFmt numFmtId="168" formatCode="_-* #,##0.00_-;\-* #,##0.00_-;_-* &quot;-&quot;??_-;_-@"/>
    <numFmt numFmtId="169" formatCode="[$-1010000]dd/mm/yyyy"/>
    <numFmt numFmtId="170" formatCode="_(* #,##0_);_(* \(#,##0\);_(* &quot;-&quot;_);_(@_)"/>
    <numFmt numFmtId="171" formatCode="_(* #,##0.00_);_(* \(#,##0.00\);_(* &quot;-&quot;??_);_(@_)"/>
    <numFmt numFmtId="172" formatCode="_(* #,##0.0_);_(* \(#,##0.0\);_(* &quot;-&quot;_);_(@_)"/>
    <numFmt numFmtId="173" formatCode="_-* #,##0\ _₫_-;\-* #,##0\ _₫_-;_-* &quot;-&quot;??\ _₫_-;_-@_-"/>
    <numFmt numFmtId="174" formatCode="_-* #,##0.0\ _₫_-;\-* #,##0.0\ _₫_-;_-* &quot;-&quot;??\ _₫_-;_-@_-"/>
    <numFmt numFmtId="175" formatCode="_(* #,##0.0_);_(* \(#,##0.0\);_(* &quot;-&quot;?_);_(@_)"/>
    <numFmt numFmtId="176" formatCode="_(* #,##0_);_(* \(#,##0\);_(* &quot;-&quot;??_);_(@_)"/>
    <numFmt numFmtId="177" formatCode="_(* #,##0.0_);_(* \(#,##0.0\);_(* &quot;-&quot;??_);_(@_)"/>
    <numFmt numFmtId="178" formatCode="_-* #,##0.0_-;\-* #,##0.0_-;_-* &quot;-&quot;?_-;_-@_-"/>
    <numFmt numFmtId="179" formatCode="_-* #,##0_-;\-* #,##0_-;_-* &quot;-&quot;?_-;_-@_-"/>
    <numFmt numFmtId="180" formatCode="_-* #,##0.0_-;\-* #,##0.0_-;_-* &quot;-&quot;??_-;_-@_-"/>
    <numFmt numFmtId="181" formatCode="_-* #,##0.0\ _₫_-;\-* #,##0.0\ _₫_-;_-* &quot;-&quot;?\ _₫_-;_-@_-"/>
  </numFmts>
  <fonts count="33">
    <font>
      <sz val="11"/>
      <color theme="1"/>
      <name val="Calibri"/>
      <scheme val="minor"/>
    </font>
    <font>
      <sz val="11"/>
      <name val="Calibri"/>
      <family val="2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0060AE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00FF"/>
      <name val="Times New Roman"/>
      <family val="1"/>
    </font>
    <font>
      <i/>
      <sz val="11"/>
      <color rgb="FFFF0000"/>
      <name val="Times New Roman"/>
      <family val="1"/>
    </font>
    <font>
      <i/>
      <sz val="12"/>
      <color rgb="FFFF0000"/>
      <name val="Times New Roman"/>
      <family val="1"/>
    </font>
    <font>
      <b/>
      <sz val="11"/>
      <color theme="3"/>
      <name val="Times New Roman"/>
      <family val="1"/>
    </font>
    <font>
      <sz val="12"/>
      <name val="Times New Roman&quot;"/>
      <charset val="163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rgb="FF000000"/>
      <name val="Times New Roman"/>
      <family val="1"/>
    </font>
    <font>
      <sz val="14"/>
      <color theme="1"/>
      <name val="Times New Roman"/>
      <family val="1"/>
    </font>
    <font>
      <sz val="18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D6DCE4"/>
        <bgColor rgb="FFD6DCE4"/>
      </patternFill>
    </fill>
    <fill>
      <patternFill patternType="solid">
        <fgColor rgb="FFD0CECE"/>
        <bgColor rgb="FFD0CECE"/>
      </patternFill>
    </fill>
    <fill>
      <patternFill patternType="solid">
        <fgColor rgb="FFFFC00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DAEEF3"/>
      </patternFill>
    </fill>
    <fill>
      <patternFill patternType="solid">
        <fgColor rgb="FF00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</fills>
  <borders count="6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theme="1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337">
    <xf numFmtId="0" fontId="0" fillId="0" borderId="0" xfId="0" applyFont="1" applyAlignment="1"/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164" fontId="5" fillId="6" borderId="9" xfId="0" applyNumberFormat="1" applyFont="1" applyFill="1" applyBorder="1" applyAlignment="1">
      <alignment horizontal="center" vertical="center" wrapText="1"/>
    </xf>
    <xf numFmtId="165" fontId="5" fillId="6" borderId="9" xfId="0" applyNumberFormat="1" applyFont="1" applyFill="1" applyBorder="1" applyAlignment="1">
      <alignment horizontal="center" vertical="center" wrapText="1"/>
    </xf>
    <xf numFmtId="164" fontId="5" fillId="4" borderId="9" xfId="0" applyNumberFormat="1" applyFont="1" applyFill="1" applyBorder="1" applyAlignment="1">
      <alignment horizontal="center" vertical="center" wrapText="1"/>
    </xf>
    <xf numFmtId="164" fontId="5" fillId="5" borderId="9" xfId="0" applyNumberFormat="1" applyFont="1" applyFill="1" applyBorder="1" applyAlignment="1">
      <alignment horizontal="center" vertical="center" wrapText="1"/>
    </xf>
    <xf numFmtId="165" fontId="5" fillId="5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9" xfId="0" applyFont="1" applyBorder="1"/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5" fontId="4" fillId="0" borderId="9" xfId="0" applyNumberFormat="1" applyFont="1" applyBorder="1"/>
    <xf numFmtId="167" fontId="4" fillId="0" borderId="9" xfId="0" applyNumberFormat="1" applyFont="1" applyBorder="1"/>
    <xf numFmtId="0" fontId="4" fillId="3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164" fontId="5" fillId="4" borderId="9" xfId="0" applyNumberFormat="1" applyFont="1" applyFill="1" applyBorder="1" applyAlignment="1">
      <alignment horizontal="center"/>
    </xf>
    <xf numFmtId="164" fontId="5" fillId="4" borderId="9" xfId="0" applyNumberFormat="1" applyFont="1" applyFill="1" applyBorder="1"/>
    <xf numFmtId="0" fontId="4" fillId="4" borderId="9" xfId="0" applyFont="1" applyFill="1" applyBorder="1"/>
    <xf numFmtId="164" fontId="5" fillId="0" borderId="0" xfId="0" applyNumberFormat="1" applyFont="1"/>
    <xf numFmtId="0" fontId="4" fillId="0" borderId="0" xfId="0" applyFont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164" fontId="5" fillId="4" borderId="9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7" fontId="5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7" fontId="4" fillId="0" borderId="0" xfId="0" applyNumberFormat="1" applyFont="1"/>
    <xf numFmtId="0" fontId="5" fillId="0" borderId="9" xfId="0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7" fontId="5" fillId="0" borderId="0" xfId="0" applyNumberFormat="1" applyFont="1"/>
    <xf numFmtId="0" fontId="5" fillId="0" borderId="0" xfId="0" applyFont="1"/>
    <xf numFmtId="164" fontId="5" fillId="0" borderId="0" xfId="0" applyNumberFormat="1" applyFont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8" fontId="4" fillId="0" borderId="9" xfId="0" applyNumberFormat="1" applyFont="1" applyBorder="1"/>
    <xf numFmtId="168" fontId="5" fillId="0" borderId="9" xfId="0" applyNumberFormat="1" applyFont="1" applyBorder="1"/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0" fillId="0" borderId="0" xfId="0" applyFont="1" applyAlignment="1"/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169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0" fontId="12" fillId="0" borderId="0" xfId="0" applyNumberFormat="1" applyFont="1" applyAlignment="1">
      <alignment vertical="center"/>
    </xf>
    <xf numFmtId="170" fontId="4" fillId="0" borderId="0" xfId="0" applyNumberFormat="1" applyFont="1" applyFill="1" applyAlignment="1">
      <alignment vertical="center"/>
    </xf>
    <xf numFmtId="170" fontId="4" fillId="0" borderId="0" xfId="0" applyNumberFormat="1" applyFont="1" applyAlignment="1">
      <alignment vertical="center"/>
    </xf>
    <xf numFmtId="170" fontId="5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Fill="1"/>
    <xf numFmtId="170" fontId="5" fillId="0" borderId="0" xfId="0" applyNumberFormat="1" applyFont="1" applyAlignment="1">
      <alignment vertical="center"/>
    </xf>
    <xf numFmtId="170" fontId="14" fillId="0" borderId="0" xfId="0" applyNumberFormat="1" applyFont="1" applyAlignment="1">
      <alignment vertical="center"/>
    </xf>
    <xf numFmtId="170" fontId="4" fillId="0" borderId="0" xfId="0" applyNumberFormat="1" applyFont="1"/>
    <xf numFmtId="169" fontId="15" fillId="0" borderId="0" xfId="0" applyNumberFormat="1" applyFont="1" applyAlignment="1">
      <alignment vertical="center"/>
    </xf>
    <xf numFmtId="170" fontId="5" fillId="0" borderId="0" xfId="0" applyNumberFormat="1" applyFont="1"/>
    <xf numFmtId="169" fontId="4" fillId="0" borderId="0" xfId="0" applyNumberFormat="1" applyFont="1" applyAlignment="1">
      <alignment horizontal="center" vertical="center"/>
    </xf>
    <xf numFmtId="0" fontId="4" fillId="0" borderId="0" xfId="0" applyFont="1"/>
    <xf numFmtId="171" fontId="4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Fill="1" applyAlignment="1">
      <alignment vertical="center"/>
    </xf>
    <xf numFmtId="0" fontId="5" fillId="8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5" fillId="9" borderId="35" xfId="0" applyFont="1" applyFill="1" applyBorder="1" applyAlignment="1">
      <alignment horizontal="center" vertical="center" wrapText="1"/>
    </xf>
    <xf numFmtId="0" fontId="19" fillId="10" borderId="35" xfId="0" applyFont="1" applyFill="1" applyBorder="1" applyAlignment="1">
      <alignment horizontal="center" vertical="center" wrapText="1"/>
    </xf>
    <xf numFmtId="0" fontId="15" fillId="9" borderId="35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 vertical="center" wrapText="1"/>
    </xf>
    <xf numFmtId="0" fontId="15" fillId="8" borderId="35" xfId="0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32" xfId="0" applyFont="1" applyBorder="1" applyAlignment="1">
      <alignment horizontal="center"/>
    </xf>
    <xf numFmtId="0" fontId="20" fillId="0" borderId="32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left"/>
    </xf>
    <xf numFmtId="0" fontId="4" fillId="0" borderId="32" xfId="0" applyFont="1" applyFill="1" applyBorder="1" applyAlignment="1">
      <alignment horizontal="center"/>
    </xf>
    <xf numFmtId="169" fontId="4" fillId="0" borderId="32" xfId="0" applyNumberFormat="1" applyFont="1" applyFill="1" applyBorder="1" applyAlignment="1">
      <alignment horizontal="center"/>
    </xf>
    <xf numFmtId="170" fontId="12" fillId="0" borderId="32" xfId="0" applyNumberFormat="1" applyFont="1" applyBorder="1"/>
    <xf numFmtId="172" fontId="4" fillId="0" borderId="32" xfId="0" applyNumberFormat="1" applyFont="1" applyBorder="1"/>
    <xf numFmtId="172" fontId="4" fillId="0" borderId="32" xfId="0" applyNumberFormat="1" applyFont="1" applyFill="1" applyBorder="1"/>
    <xf numFmtId="173" fontId="4" fillId="0" borderId="32" xfId="1" applyNumberFormat="1" applyFont="1" applyBorder="1" applyAlignment="1">
      <alignment horizontal="right"/>
    </xf>
    <xf numFmtId="170" fontId="4" fillId="0" borderId="32" xfId="0" applyNumberFormat="1" applyFont="1" applyBorder="1"/>
    <xf numFmtId="170" fontId="12" fillId="0" borderId="32" xfId="0" applyNumberFormat="1" applyFont="1" applyFill="1" applyBorder="1"/>
    <xf numFmtId="170" fontId="5" fillId="0" borderId="32" xfId="0" applyNumberFormat="1" applyFont="1" applyBorder="1"/>
    <xf numFmtId="173" fontId="4" fillId="0" borderId="32" xfId="1" applyNumberFormat="1" applyFont="1" applyBorder="1"/>
    <xf numFmtId="0" fontId="4" fillId="0" borderId="37" xfId="0" applyFont="1" applyBorder="1"/>
    <xf numFmtId="170" fontId="4" fillId="0" borderId="38" xfId="0" applyNumberFormat="1" applyFont="1" applyBorder="1" applyAlignment="1">
      <alignment horizontal="left"/>
    </xf>
    <xf numFmtId="0" fontId="21" fillId="12" borderId="32" xfId="0" applyFont="1" applyFill="1" applyBorder="1" applyAlignment="1">
      <alignment horizontal="left"/>
    </xf>
    <xf numFmtId="0" fontId="21" fillId="13" borderId="32" xfId="0" applyFont="1" applyFill="1" applyBorder="1" applyAlignment="1">
      <alignment horizontal="left"/>
    </xf>
    <xf numFmtId="0" fontId="4" fillId="0" borderId="39" xfId="0" applyFont="1" applyBorder="1"/>
    <xf numFmtId="170" fontId="4" fillId="0" borderId="40" xfId="0" applyNumberFormat="1" applyFont="1" applyBorder="1" applyAlignment="1">
      <alignment horizontal="left"/>
    </xf>
    <xf numFmtId="0" fontId="4" fillId="0" borderId="32" xfId="0" applyFont="1" applyBorder="1"/>
    <xf numFmtId="170" fontId="4" fillId="0" borderId="32" xfId="0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20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169" fontId="4" fillId="0" borderId="0" xfId="0" applyNumberFormat="1" applyFont="1" applyFill="1" applyBorder="1" applyAlignment="1">
      <alignment horizontal="center"/>
    </xf>
    <xf numFmtId="173" fontId="4" fillId="14" borderId="0" xfId="1" applyNumberFormat="1" applyFont="1" applyFill="1" applyBorder="1"/>
    <xf numFmtId="0" fontId="4" fillId="14" borderId="0" xfId="0" applyFont="1" applyFill="1" applyBorder="1"/>
    <xf numFmtId="170" fontId="4" fillId="14" borderId="0" xfId="0" applyNumberFormat="1" applyFont="1" applyFill="1" applyBorder="1" applyAlignment="1">
      <alignment horizontal="left"/>
    </xf>
    <xf numFmtId="0" fontId="17" fillId="0" borderId="0" xfId="0" applyFont="1" applyAlignment="1">
      <alignment horizontal="center" vertical="center"/>
    </xf>
    <xf numFmtId="169" fontId="17" fillId="0" borderId="0" xfId="0" applyNumberFormat="1" applyFont="1" applyAlignment="1">
      <alignment horizontal="center" vertical="center"/>
    </xf>
    <xf numFmtId="175" fontId="17" fillId="0" borderId="0" xfId="0" applyNumberFormat="1" applyFont="1" applyAlignment="1">
      <alignment vertical="center"/>
    </xf>
    <xf numFmtId="170" fontId="17" fillId="0" borderId="0" xfId="0" applyNumberFormat="1" applyFont="1" applyAlignment="1">
      <alignment vertical="center"/>
    </xf>
    <xf numFmtId="0" fontId="13" fillId="0" borderId="41" xfId="0" applyFont="1" applyBorder="1"/>
    <xf numFmtId="0" fontId="4" fillId="0" borderId="41" xfId="0" applyFont="1" applyBorder="1" applyAlignment="1">
      <alignment horizontal="center"/>
    </xf>
    <xf numFmtId="176" fontId="4" fillId="0" borderId="41" xfId="0" applyNumberFormat="1" applyFont="1" applyBorder="1"/>
    <xf numFmtId="176" fontId="4" fillId="0" borderId="0" xfId="0" applyNumberFormat="1" applyFont="1" applyAlignment="1">
      <alignment vertical="center"/>
    </xf>
    <xf numFmtId="177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vertical="center"/>
    </xf>
    <xf numFmtId="179" fontId="12" fillId="0" borderId="0" xfId="0" applyNumberFormat="1" applyFont="1" applyAlignment="1">
      <alignment vertical="center"/>
    </xf>
    <xf numFmtId="179" fontId="4" fillId="0" borderId="0" xfId="0" applyNumberFormat="1" applyFont="1" applyFill="1" applyAlignment="1">
      <alignment vertical="center"/>
    </xf>
    <xf numFmtId="179" fontId="4" fillId="0" borderId="0" xfId="0" applyNumberFormat="1" applyFont="1" applyAlignment="1">
      <alignment vertical="center"/>
    </xf>
    <xf numFmtId="178" fontId="12" fillId="0" borderId="0" xfId="0" applyNumberFormat="1" applyFont="1" applyAlignment="1">
      <alignment vertical="center"/>
    </xf>
    <xf numFmtId="0" fontId="12" fillId="0" borderId="0" xfId="0" applyFont="1"/>
    <xf numFmtId="175" fontId="4" fillId="0" borderId="0" xfId="0" applyNumberFormat="1" applyFont="1"/>
    <xf numFmtId="0" fontId="4" fillId="0" borderId="41" xfId="0" applyFont="1" applyBorder="1"/>
    <xf numFmtId="180" fontId="4" fillId="0" borderId="0" xfId="0" applyNumberFormat="1" applyFont="1" applyAlignment="1">
      <alignment vertical="center"/>
    </xf>
    <xf numFmtId="174" fontId="4" fillId="0" borderId="0" xfId="1" applyNumberFormat="1" applyFont="1"/>
    <xf numFmtId="43" fontId="4" fillId="0" borderId="0" xfId="1" applyFont="1"/>
    <xf numFmtId="43" fontId="4" fillId="0" borderId="0" xfId="0" applyNumberFormat="1" applyFont="1"/>
    <xf numFmtId="181" fontId="4" fillId="0" borderId="0" xfId="0" applyNumberFormat="1" applyFont="1"/>
    <xf numFmtId="0" fontId="11" fillId="0" borderId="0" xfId="0" applyFont="1"/>
    <xf numFmtId="49" fontId="13" fillId="0" borderId="32" xfId="0" applyNumberFormat="1" applyFont="1" applyFill="1" applyBorder="1" applyAlignment="1">
      <alignment horizontal="center" vertical="center"/>
    </xf>
    <xf numFmtId="169" fontId="13" fillId="0" borderId="32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22" fillId="0" borderId="32" xfId="0" applyFont="1" applyBorder="1" applyAlignment="1"/>
    <xf numFmtId="14" fontId="0" fillId="0" borderId="32" xfId="0" applyNumberFormat="1" applyFont="1" applyBorder="1" applyAlignment="1"/>
    <xf numFmtId="0" fontId="0" fillId="0" borderId="32" xfId="0" applyFont="1" applyBorder="1" applyAlignment="1"/>
    <xf numFmtId="14" fontId="0" fillId="0" borderId="32" xfId="0" applyNumberFormat="1" applyFont="1" applyBorder="1" applyAlignment="1">
      <alignment horizontal="right"/>
    </xf>
    <xf numFmtId="0" fontId="22" fillId="0" borderId="32" xfId="0" quotePrefix="1" applyFont="1" applyBorder="1" applyAlignment="1"/>
    <xf numFmtId="0" fontId="0" fillId="0" borderId="0" xfId="0" applyFont="1" applyAlignment="1">
      <alignment horizontal="right"/>
    </xf>
    <xf numFmtId="0" fontId="0" fillId="0" borderId="0" xfId="0" applyFont="1" applyFill="1" applyAlignment="1"/>
    <xf numFmtId="170" fontId="12" fillId="12" borderId="32" xfId="0" applyNumberFormat="1" applyFont="1" applyFill="1" applyBorder="1"/>
    <xf numFmtId="172" fontId="5" fillId="0" borderId="32" xfId="0" applyNumberFormat="1" applyFont="1" applyBorder="1"/>
    <xf numFmtId="174" fontId="4" fillId="0" borderId="32" xfId="1" applyNumberFormat="1" applyFont="1" applyBorder="1"/>
    <xf numFmtId="173" fontId="4" fillId="12" borderId="32" xfId="1" applyNumberFormat="1" applyFont="1" applyFill="1" applyBorder="1" applyAlignment="1">
      <alignment horizontal="right"/>
    </xf>
    <xf numFmtId="170" fontId="12" fillId="15" borderId="32" xfId="0" applyNumberFormat="1" applyFont="1" applyFill="1" applyBorder="1"/>
    <xf numFmtId="0" fontId="27" fillId="0" borderId="32" xfId="0" applyFont="1" applyFill="1" applyBorder="1" applyAlignment="1">
      <alignment horizontal="center" vertical="center" wrapText="1"/>
    </xf>
    <xf numFmtId="0" fontId="27" fillId="0" borderId="32" xfId="0" applyFont="1" applyFill="1" applyBorder="1" applyAlignment="1">
      <alignment horizontal="left" vertical="center" wrapText="1"/>
    </xf>
    <xf numFmtId="0" fontId="25" fillId="0" borderId="45" xfId="0" applyFont="1" applyBorder="1" applyAlignment="1">
      <alignment horizontal="center" vertical="center"/>
    </xf>
    <xf numFmtId="0" fontId="27" fillId="0" borderId="37" xfId="0" applyFont="1" applyFill="1" applyBorder="1" applyAlignment="1">
      <alignment horizontal="center" wrapText="1"/>
    </xf>
    <xf numFmtId="0" fontId="27" fillId="0" borderId="32" xfId="0" applyFont="1" applyFill="1" applyBorder="1" applyAlignment="1">
      <alignment horizontal="center" wrapText="1"/>
    </xf>
    <xf numFmtId="0" fontId="24" fillId="0" borderId="31" xfId="0" applyFont="1" applyFill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7" fillId="0" borderId="49" xfId="0" applyFont="1" applyFill="1" applyBorder="1" applyAlignment="1">
      <alignment horizontal="center" vertical="center" wrapText="1"/>
    </xf>
    <xf numFmtId="0" fontId="27" fillId="0" borderId="49" xfId="0" applyFont="1" applyFill="1" applyBorder="1" applyAlignment="1">
      <alignment horizontal="left" vertical="center" wrapText="1"/>
    </xf>
    <xf numFmtId="0" fontId="26" fillId="0" borderId="50" xfId="0" applyFont="1" applyBorder="1" applyAlignment="1">
      <alignment horizontal="center" vertical="center"/>
    </xf>
    <xf numFmtId="0" fontId="24" fillId="0" borderId="51" xfId="0" applyFont="1" applyFill="1" applyBorder="1" applyAlignment="1">
      <alignment horizontal="center" vertical="center"/>
    </xf>
    <xf numFmtId="0" fontId="24" fillId="0" borderId="49" xfId="0" applyFont="1" applyFill="1" applyBorder="1" applyAlignment="1">
      <alignment horizontal="center" vertical="center"/>
    </xf>
    <xf numFmtId="0" fontId="24" fillId="0" borderId="52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7" fillId="0" borderId="55" xfId="0" applyFont="1" applyFill="1" applyBorder="1" applyAlignment="1">
      <alignment horizontal="center" vertical="center" wrapText="1"/>
    </xf>
    <xf numFmtId="0" fontId="27" fillId="0" borderId="55" xfId="0" applyFont="1" applyFill="1" applyBorder="1" applyAlignment="1">
      <alignment horizontal="left" vertical="center" wrapText="1"/>
    </xf>
    <xf numFmtId="0" fontId="24" fillId="0" borderId="56" xfId="0" applyFont="1" applyBorder="1" applyAlignment="1">
      <alignment horizontal="center" vertical="center"/>
    </xf>
    <xf numFmtId="0" fontId="27" fillId="0" borderId="57" xfId="0" applyFont="1" applyFill="1" applyBorder="1" applyAlignment="1">
      <alignment horizontal="center" wrapText="1"/>
    </xf>
    <xf numFmtId="0" fontId="27" fillId="0" borderId="55" xfId="0" applyFont="1" applyFill="1" applyBorder="1" applyAlignment="1">
      <alignment horizontal="center" wrapText="1"/>
    </xf>
    <xf numFmtId="0" fontId="24" fillId="0" borderId="17" xfId="0" applyFont="1" applyFill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7" fillId="0" borderId="17" xfId="0" applyFont="1" applyFill="1" applyBorder="1" applyAlignment="1">
      <alignment horizontal="center" wrapText="1"/>
    </xf>
    <xf numFmtId="0" fontId="27" fillId="0" borderId="14" xfId="0" applyFont="1" applyFill="1" applyBorder="1" applyAlignment="1">
      <alignment horizontal="center" wrapText="1"/>
    </xf>
    <xf numFmtId="0" fontId="24" fillId="0" borderId="9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64" fontId="29" fillId="0" borderId="4" xfId="0" applyNumberFormat="1" applyFont="1" applyBorder="1" applyAlignment="1">
      <alignment horizontal="center" vertical="center" wrapText="1"/>
    </xf>
    <xf numFmtId="164" fontId="29" fillId="0" borderId="5" xfId="0" applyNumberFormat="1" applyFont="1" applyBorder="1" applyAlignment="1">
      <alignment horizontal="center" vertical="center" wrapText="1"/>
    </xf>
    <xf numFmtId="164" fontId="13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3" fillId="0" borderId="0" xfId="0" applyFont="1" applyAlignment="1">
      <alignment horizontal="center" wrapText="1"/>
    </xf>
    <xf numFmtId="166" fontId="11" fillId="2" borderId="14" xfId="0" applyNumberFormat="1" applyFont="1" applyFill="1" applyBorder="1" applyAlignment="1">
      <alignment horizontal="center" vertical="center"/>
    </xf>
    <xf numFmtId="166" fontId="11" fillId="7" borderId="14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16" borderId="14" xfId="0" applyNumberFormat="1" applyFont="1" applyFill="1" applyBorder="1" applyAlignment="1">
      <alignment horizontal="center" vertical="center"/>
    </xf>
    <xf numFmtId="166" fontId="11" fillId="0" borderId="47" xfId="0" applyNumberFormat="1" applyFont="1" applyBorder="1" applyAlignment="1">
      <alignment horizontal="center" vertical="center"/>
    </xf>
    <xf numFmtId="166" fontId="31" fillId="0" borderId="9" xfId="0" applyNumberFormat="1" applyFont="1" applyBorder="1" applyAlignment="1">
      <alignment horizontal="center" vertical="center"/>
    </xf>
    <xf numFmtId="166" fontId="11" fillId="0" borderId="53" xfId="0" applyNumberFormat="1" applyFont="1" applyBorder="1" applyAlignment="1">
      <alignment horizontal="center" vertical="center"/>
    </xf>
    <xf numFmtId="166" fontId="11" fillId="0" borderId="54" xfId="0" applyNumberFormat="1" applyFont="1" applyBorder="1" applyAlignment="1">
      <alignment horizontal="center" vertical="center"/>
    </xf>
    <xf numFmtId="166" fontId="31" fillId="0" borderId="14" xfId="0" applyNumberFormat="1" applyFont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22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66" fontId="13" fillId="0" borderId="17" xfId="0" applyNumberFormat="1" applyFont="1" applyBorder="1" applyAlignment="1">
      <alignment horizontal="center" vertical="center"/>
    </xf>
    <xf numFmtId="166" fontId="13" fillId="0" borderId="4" xfId="0" applyNumberFormat="1" applyFont="1" applyBorder="1" applyAlignment="1">
      <alignment horizontal="center" vertical="center"/>
    </xf>
    <xf numFmtId="166" fontId="32" fillId="0" borderId="28" xfId="0" applyNumberFormat="1" applyFont="1" applyBorder="1" applyAlignment="1">
      <alignment horizontal="center" vertical="center"/>
    </xf>
    <xf numFmtId="166" fontId="32" fillId="0" borderId="29" xfId="0" applyNumberFormat="1" applyFont="1" applyBorder="1" applyAlignment="1">
      <alignment horizontal="center" vertical="center"/>
    </xf>
    <xf numFmtId="166" fontId="32" fillId="0" borderId="27" xfId="0" applyNumberFormat="1" applyFont="1" applyBorder="1" applyAlignment="1">
      <alignment horizontal="center" vertical="center"/>
    </xf>
    <xf numFmtId="166" fontId="32" fillId="0" borderId="20" xfId="0" applyNumberFormat="1" applyFont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vertical="center"/>
    </xf>
    <xf numFmtId="0" fontId="13" fillId="0" borderId="42" xfId="0" applyFont="1" applyBorder="1" applyAlignment="1">
      <alignment vertical="center"/>
    </xf>
    <xf numFmtId="164" fontId="13" fillId="0" borderId="44" xfId="0" applyNumberFormat="1" applyFont="1" applyBorder="1" applyAlignment="1">
      <alignment horizontal="center" vertical="center" wrapText="1"/>
    </xf>
    <xf numFmtId="166" fontId="11" fillId="17" borderId="14" xfId="0" applyNumberFormat="1" applyFont="1" applyFill="1" applyBorder="1" applyAlignment="1">
      <alignment horizontal="center" vertical="center"/>
    </xf>
    <xf numFmtId="166" fontId="13" fillId="0" borderId="15" xfId="0" applyNumberFormat="1" applyFont="1" applyBorder="1" applyAlignment="1">
      <alignment horizontal="center" vertical="center"/>
    </xf>
    <xf numFmtId="166" fontId="11" fillId="0" borderId="30" xfId="0" applyNumberFormat="1" applyFont="1" applyBorder="1" applyAlignment="1">
      <alignment horizontal="center" vertical="center"/>
    </xf>
    <xf numFmtId="166" fontId="11" fillId="0" borderId="62" xfId="0" applyNumberFormat="1" applyFont="1" applyBorder="1" applyAlignment="1">
      <alignment horizontal="center" vertical="center"/>
    </xf>
    <xf numFmtId="166" fontId="31" fillId="0" borderId="18" xfId="0" applyNumberFormat="1" applyFont="1" applyBorder="1" applyAlignment="1">
      <alignment horizontal="center" vertical="center"/>
    </xf>
    <xf numFmtId="166" fontId="11" fillId="17" borderId="30" xfId="0" applyNumberFormat="1" applyFont="1" applyFill="1" applyBorder="1" applyAlignment="1">
      <alignment horizontal="center" vertical="center"/>
    </xf>
    <xf numFmtId="166" fontId="13" fillId="0" borderId="60" xfId="0" applyNumberFormat="1" applyFont="1" applyBorder="1" applyAlignment="1">
      <alignment horizontal="center" vertical="center"/>
    </xf>
    <xf numFmtId="166" fontId="11" fillId="0" borderId="32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31" fillId="0" borderId="32" xfId="0" applyNumberFormat="1" applyFont="1" applyFill="1" applyBorder="1" applyAlignment="1">
      <alignment horizontal="center" vertical="center"/>
    </xf>
    <xf numFmtId="166" fontId="11" fillId="17" borderId="32" xfId="0" applyNumberFormat="1" applyFont="1" applyFill="1" applyBorder="1" applyAlignment="1">
      <alignment horizontal="center" vertical="center"/>
    </xf>
    <xf numFmtId="0" fontId="11" fillId="0" borderId="63" xfId="0" applyFont="1" applyFill="1" applyBorder="1" applyAlignment="1">
      <alignment vertical="center"/>
    </xf>
    <xf numFmtId="166" fontId="31" fillId="0" borderId="53" xfId="0" applyNumberFormat="1" applyFont="1" applyBorder="1" applyAlignment="1">
      <alignment horizontal="center" vertical="center"/>
    </xf>
    <xf numFmtId="166" fontId="11" fillId="17" borderId="53" xfId="0" applyNumberFormat="1" applyFont="1" applyFill="1" applyBorder="1" applyAlignment="1">
      <alignment horizontal="center" vertical="center"/>
    </xf>
    <xf numFmtId="166" fontId="13" fillId="0" borderId="33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166" fontId="13" fillId="0" borderId="16" xfId="0" applyNumberFormat="1" applyFont="1" applyBorder="1" applyAlignment="1">
      <alignment horizontal="center" vertical="center"/>
    </xf>
    <xf numFmtId="166" fontId="32" fillId="0" borderId="26" xfId="0" applyNumberFormat="1" applyFont="1" applyBorder="1" applyAlignment="1">
      <alignment horizontal="center" vertical="center"/>
    </xf>
    <xf numFmtId="166" fontId="32" fillId="0" borderId="58" xfId="0" applyNumberFormat="1" applyFont="1" applyBorder="1" applyAlignment="1">
      <alignment horizontal="center" vertical="center"/>
    </xf>
    <xf numFmtId="166" fontId="32" fillId="0" borderId="59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64" fontId="13" fillId="0" borderId="43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66" fontId="31" fillId="0" borderId="12" xfId="0" applyNumberFormat="1" applyFont="1" applyBorder="1" applyAlignment="1">
      <alignment horizontal="center" vertical="center" wrapText="1"/>
    </xf>
    <xf numFmtId="166" fontId="31" fillId="0" borderId="14" xfId="0" applyNumberFormat="1" applyFont="1" applyBorder="1" applyAlignment="1">
      <alignment horizontal="center" vertical="center" wrapText="1"/>
    </xf>
    <xf numFmtId="166" fontId="11" fillId="0" borderId="9" xfId="0" applyNumberFormat="1" applyFont="1" applyBorder="1" applyAlignment="1">
      <alignment horizontal="center" vertical="center" wrapText="1"/>
    </xf>
    <xf numFmtId="166" fontId="11" fillId="0" borderId="14" xfId="0" applyNumberFormat="1" applyFont="1" applyBorder="1" applyAlignment="1">
      <alignment horizontal="center" vertical="center" wrapText="1"/>
    </xf>
    <xf numFmtId="166" fontId="13" fillId="0" borderId="46" xfId="0" applyNumberFormat="1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center" vertical="center" wrapText="1"/>
    </xf>
    <xf numFmtId="166" fontId="31" fillId="0" borderId="9" xfId="0" applyNumberFormat="1" applyFont="1" applyBorder="1" applyAlignment="1">
      <alignment horizontal="center" vertical="center" wrapText="1"/>
    </xf>
    <xf numFmtId="166" fontId="11" fillId="17" borderId="14" xfId="0" applyNumberFormat="1" applyFont="1" applyFill="1" applyBorder="1" applyAlignment="1">
      <alignment horizontal="center" vertical="center" wrapText="1"/>
    </xf>
    <xf numFmtId="166" fontId="13" fillId="0" borderId="15" xfId="0" applyNumberFormat="1" applyFont="1" applyBorder="1" applyAlignment="1">
      <alignment horizontal="center" vertical="center" wrapText="1"/>
    </xf>
    <xf numFmtId="166" fontId="13" fillId="0" borderId="48" xfId="0" applyNumberFormat="1" applyFont="1" applyBorder="1" applyAlignment="1">
      <alignment horizontal="center" vertical="center" wrapText="1"/>
    </xf>
    <xf numFmtId="0" fontId="13" fillId="0" borderId="0" xfId="0" applyFont="1" applyAlignment="1"/>
    <xf numFmtId="164" fontId="11" fillId="0" borderId="0" xfId="0" applyNumberFormat="1" applyFont="1" applyAlignment="1"/>
    <xf numFmtId="165" fontId="11" fillId="0" borderId="0" xfId="0" applyNumberFormat="1" applyFont="1" applyAlignment="1"/>
    <xf numFmtId="0" fontId="11" fillId="0" borderId="21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61" xfId="0" applyFont="1" applyBorder="1" applyAlignment="1">
      <alignment vertical="center" wrapText="1"/>
    </xf>
    <xf numFmtId="166" fontId="11" fillId="0" borderId="14" xfId="0" applyNumberFormat="1" applyFont="1" applyFill="1" applyBorder="1" applyAlignment="1">
      <alignment horizontal="center" vertical="center" wrapText="1"/>
    </xf>
    <xf numFmtId="20" fontId="11" fillId="0" borderId="10" xfId="0" applyNumberFormat="1" applyFont="1" applyBorder="1" applyAlignment="1">
      <alignment horizontal="center" vertical="center"/>
    </xf>
    <xf numFmtId="20" fontId="11" fillId="0" borderId="31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66" fontId="32" fillId="0" borderId="10" xfId="0" applyNumberFormat="1" applyFont="1" applyBorder="1" applyAlignment="1">
      <alignment horizontal="center" vertical="center"/>
    </xf>
    <xf numFmtId="166" fontId="32" fillId="0" borderId="11" xfId="0" applyNumberFormat="1" applyFont="1" applyBorder="1" applyAlignment="1">
      <alignment horizontal="center" vertical="center"/>
    </xf>
    <xf numFmtId="166" fontId="32" fillId="0" borderId="31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31" xfId="0" applyNumberFormat="1" applyFont="1" applyBorder="1" applyAlignment="1">
      <alignment horizontal="center" vertical="center"/>
    </xf>
    <xf numFmtId="166" fontId="13" fillId="0" borderId="10" xfId="0" applyNumberFormat="1" applyFont="1" applyBorder="1" applyAlignment="1">
      <alignment horizontal="center" vertical="center"/>
    </xf>
    <xf numFmtId="166" fontId="13" fillId="0" borderId="3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9" fontId="16" fillId="0" borderId="0" xfId="0" applyNumberFormat="1" applyFont="1" applyAlignment="1">
      <alignment horizontal="center"/>
    </xf>
    <xf numFmtId="0" fontId="4" fillId="0" borderId="0" xfId="0" applyFont="1"/>
    <xf numFmtId="169" fontId="5" fillId="0" borderId="0" xfId="0" applyNumberFormat="1" applyFont="1" applyAlignment="1">
      <alignment horizontal="center"/>
    </xf>
    <xf numFmtId="175" fontId="4" fillId="0" borderId="0" xfId="0" applyNumberFormat="1" applyFont="1" applyAlignment="1">
      <alignment horizontal="center" vertical="center"/>
    </xf>
    <xf numFmtId="0" fontId="13" fillId="0" borderId="32" xfId="0" applyFont="1" applyFill="1" applyBorder="1" applyAlignment="1">
      <alignment vertical="center"/>
    </xf>
    <xf numFmtId="0" fontId="5" fillId="8" borderId="32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/>
    </xf>
    <xf numFmtId="0" fontId="23" fillId="0" borderId="32" xfId="0" applyFont="1" applyFill="1" applyBorder="1" applyAlignment="1"/>
    <xf numFmtId="169" fontId="13" fillId="0" borderId="32" xfId="0" applyNumberFormat="1" applyFont="1" applyFill="1" applyBorder="1" applyAlignment="1">
      <alignment horizontal="right" vertical="center"/>
    </xf>
    <xf numFmtId="0" fontId="23" fillId="0" borderId="32" xfId="0" applyFont="1" applyFill="1" applyBorder="1" applyAlignment="1">
      <alignment horizontal="right"/>
    </xf>
    <xf numFmtId="49" fontId="13" fillId="0" borderId="32" xfId="0" applyNumberFormat="1" applyFont="1" applyFill="1" applyBorder="1" applyAlignment="1">
      <alignment horizontal="left" vertical="center"/>
    </xf>
    <xf numFmtId="0" fontId="23" fillId="0" borderId="32" xfId="0" applyFont="1" applyFill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1" fillId="0" borderId="25" xfId="0" applyFont="1" applyBorder="1"/>
    <xf numFmtId="20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 wrapText="1"/>
    </xf>
    <xf numFmtId="0" fontId="1" fillId="0" borderId="30" xfId="0" applyFont="1" applyBorder="1"/>
    <xf numFmtId="0" fontId="1" fillId="0" borderId="13" xfId="0" applyFont="1" applyBorder="1"/>
    <xf numFmtId="0" fontId="6" fillId="0" borderId="0" xfId="0" applyFont="1" applyAlignment="1">
      <alignment horizontal="center"/>
    </xf>
    <xf numFmtId="0" fontId="0" fillId="0" borderId="0" xfId="0" applyFont="1" applyAlignment="1"/>
    <xf numFmtId="0" fontId="1" fillId="0" borderId="11" xfId="0" applyFont="1" applyBorder="1"/>
    <xf numFmtId="164" fontId="5" fillId="0" borderId="10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ZG248"/>
  <sheetViews>
    <sheetView zoomScale="70" zoomScaleNormal="70" workbookViewId="0">
      <pane xSplit="4" topLeftCell="I1" activePane="topRight" state="frozen"/>
      <selection activeCell="A27" sqref="A27"/>
      <selection pane="topRight" activeCell="Z19" sqref="Z19"/>
    </sheetView>
  </sheetViews>
  <sheetFormatPr defaultColWidth="37.44140625" defaultRowHeight="15.6"/>
  <cols>
    <col min="1" max="1" width="5.109375" style="198" bestFit="1" customWidth="1"/>
    <col min="2" max="2" width="8.109375" style="198" bestFit="1" customWidth="1"/>
    <col min="3" max="3" width="6.88671875" style="198" bestFit="1" customWidth="1"/>
    <col min="4" max="4" width="28.109375" style="198" customWidth="1"/>
    <col min="5" max="5" width="16.6640625" style="198" bestFit="1" customWidth="1"/>
    <col min="6" max="6" width="7.5546875" style="198" bestFit="1" customWidth="1"/>
    <col min="7" max="10" width="8.33203125" style="198" bestFit="1" customWidth="1"/>
    <col min="11" max="11" width="7.5546875" style="198" bestFit="1" customWidth="1"/>
    <col min="12" max="12" width="8.33203125" style="198" bestFit="1" customWidth="1"/>
    <col min="13" max="13" width="7.5546875" style="198" bestFit="1" customWidth="1"/>
    <col min="14" max="14" width="9.77734375" style="198" bestFit="1" customWidth="1"/>
    <col min="15" max="15" width="8.33203125" style="198" bestFit="1" customWidth="1"/>
    <col min="16" max="18" width="7.5546875" style="198" bestFit="1" customWidth="1"/>
    <col min="19" max="19" width="9" style="198" bestFit="1" customWidth="1"/>
    <col min="20" max="22" width="8.33203125" style="198" bestFit="1" customWidth="1"/>
    <col min="23" max="25" width="7.5546875" style="198" bestFit="1" customWidth="1"/>
    <col min="26" max="30" width="8.33203125" style="198" bestFit="1" customWidth="1"/>
    <col min="31" max="31" width="7.5546875" style="198" bestFit="1" customWidth="1"/>
    <col min="32" max="32" width="9" style="198" bestFit="1" customWidth="1"/>
    <col min="33" max="33" width="7.5546875" style="198" bestFit="1" customWidth="1"/>
    <col min="34" max="34" width="8.33203125" style="198" bestFit="1" customWidth="1"/>
    <col min="35" max="35" width="7.5546875" style="198" bestFit="1" customWidth="1"/>
    <col min="36" max="36" width="7.6640625" style="198" hidden="1" customWidth="1"/>
    <col min="37" max="39" width="10.44140625" style="198" customWidth="1"/>
    <col min="40" max="42" width="10.44140625" style="198" hidden="1" customWidth="1"/>
    <col min="43" max="44" width="10.44140625" style="198" customWidth="1"/>
    <col min="45" max="46" width="10.44140625" style="198" hidden="1" customWidth="1"/>
    <col min="47" max="49" width="10.44140625" style="198" customWidth="1"/>
    <col min="50" max="50" width="12.77734375" style="198" customWidth="1"/>
    <col min="51" max="52" width="13" style="198" customWidth="1"/>
    <col min="53" max="53" width="10.44140625" style="198" customWidth="1"/>
    <col min="54" max="54" width="11.88671875" style="198" hidden="1" customWidth="1"/>
    <col min="55" max="55" width="12.77734375" style="198" hidden="1" customWidth="1"/>
    <col min="56" max="56" width="11.6640625" style="198" hidden="1" customWidth="1"/>
    <col min="57" max="58" width="13.21875" style="198" hidden="1" customWidth="1"/>
    <col min="59" max="59" width="13.88671875" style="198" hidden="1" customWidth="1"/>
    <col min="60" max="60" width="24.5546875" style="198" hidden="1" customWidth="1"/>
    <col min="61" max="61" width="27.77734375" style="198" hidden="1" customWidth="1"/>
    <col min="62" max="62" width="23.5546875" style="198" hidden="1" customWidth="1"/>
    <col min="63" max="63" width="12.44140625" style="198" hidden="1" customWidth="1"/>
    <col min="64" max="64" width="23.21875" style="198" customWidth="1"/>
    <col min="65" max="16384" width="37.44140625" style="198"/>
  </cols>
  <sheetData>
    <row r="1" spans="1:683">
      <c r="A1" s="199"/>
      <c r="B1" s="199"/>
      <c r="C1" s="199"/>
      <c r="D1" s="63"/>
      <c r="E1" s="63"/>
      <c r="F1" s="199"/>
      <c r="G1" s="201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201"/>
      <c r="AF1" s="63"/>
      <c r="AG1" s="199"/>
      <c r="AH1" s="199"/>
      <c r="AI1" s="199"/>
      <c r="AJ1" s="199"/>
      <c r="AK1" s="230"/>
      <c r="AL1" s="230"/>
      <c r="AM1" s="63"/>
      <c r="AN1" s="63"/>
      <c r="AO1" s="63"/>
      <c r="AP1" s="63"/>
      <c r="AQ1" s="231"/>
      <c r="AR1" s="202"/>
      <c r="AS1" s="202"/>
      <c r="AT1" s="202"/>
      <c r="AU1" s="63"/>
      <c r="AV1" s="202"/>
      <c r="AW1" s="202"/>
      <c r="AX1" s="202"/>
      <c r="AY1" s="63"/>
      <c r="AZ1" s="202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3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  <c r="HL1" s="63"/>
      <c r="HM1" s="63"/>
      <c r="HN1" s="63"/>
      <c r="HO1" s="63"/>
      <c r="HP1" s="63"/>
      <c r="HQ1" s="63"/>
      <c r="HR1" s="63"/>
      <c r="HS1" s="63"/>
      <c r="HT1" s="63"/>
      <c r="HU1" s="63"/>
      <c r="HV1" s="63"/>
      <c r="HW1" s="63"/>
      <c r="HX1" s="63"/>
      <c r="HY1" s="63"/>
      <c r="HZ1" s="63"/>
      <c r="IA1" s="63"/>
      <c r="IB1" s="63"/>
      <c r="IC1" s="63"/>
      <c r="ID1" s="63"/>
      <c r="IE1" s="63"/>
      <c r="IF1" s="63"/>
      <c r="IG1" s="63"/>
      <c r="IH1" s="63"/>
      <c r="II1" s="63"/>
      <c r="IJ1" s="63"/>
      <c r="IK1" s="63"/>
      <c r="IL1" s="63"/>
      <c r="IM1" s="63"/>
      <c r="IN1" s="63"/>
      <c r="IO1" s="63"/>
      <c r="IP1" s="63"/>
      <c r="IQ1" s="63"/>
      <c r="IR1" s="63"/>
      <c r="IS1" s="63"/>
      <c r="IT1" s="63"/>
      <c r="IU1" s="63"/>
      <c r="IV1" s="63"/>
      <c r="IW1" s="63"/>
      <c r="IX1" s="63"/>
      <c r="IY1" s="63"/>
      <c r="IZ1" s="63"/>
      <c r="JA1" s="63"/>
      <c r="JB1" s="63"/>
      <c r="JC1" s="63"/>
      <c r="JD1" s="63"/>
      <c r="JE1" s="63"/>
      <c r="JF1" s="63"/>
      <c r="JG1" s="63"/>
      <c r="JH1" s="63"/>
      <c r="JI1" s="63"/>
      <c r="JJ1" s="63"/>
      <c r="JK1" s="63"/>
      <c r="JL1" s="63"/>
      <c r="JM1" s="63"/>
      <c r="JN1" s="63"/>
      <c r="JO1" s="63"/>
      <c r="JP1" s="63"/>
      <c r="JQ1" s="63"/>
      <c r="JR1" s="63"/>
      <c r="JS1" s="63"/>
      <c r="JT1" s="63"/>
      <c r="JU1" s="63"/>
      <c r="JV1" s="63"/>
      <c r="JW1" s="63"/>
      <c r="JX1" s="63"/>
      <c r="JY1" s="63"/>
      <c r="JZ1" s="63"/>
      <c r="KA1" s="63"/>
      <c r="KB1" s="63"/>
      <c r="KC1" s="63"/>
      <c r="KD1" s="63"/>
      <c r="KE1" s="63"/>
      <c r="KF1" s="63"/>
      <c r="KG1" s="63"/>
      <c r="KH1" s="63"/>
      <c r="KI1" s="63"/>
      <c r="KJ1" s="63"/>
      <c r="KK1" s="63"/>
      <c r="KL1" s="63"/>
      <c r="KM1" s="63"/>
      <c r="KN1" s="63"/>
      <c r="KO1" s="63"/>
      <c r="KP1" s="63"/>
      <c r="KQ1" s="63"/>
      <c r="KR1" s="63"/>
      <c r="KS1" s="63"/>
      <c r="KT1" s="63"/>
      <c r="KU1" s="63"/>
      <c r="KV1" s="63"/>
      <c r="KW1" s="63"/>
      <c r="KX1" s="63"/>
      <c r="KY1" s="63"/>
      <c r="KZ1" s="63"/>
      <c r="LA1" s="63"/>
      <c r="LB1" s="63"/>
      <c r="LC1" s="63"/>
      <c r="LD1" s="63"/>
      <c r="LE1" s="63"/>
      <c r="LF1" s="63"/>
      <c r="LG1" s="63"/>
      <c r="LH1" s="63"/>
      <c r="LI1" s="63"/>
      <c r="LJ1" s="63"/>
      <c r="LK1" s="63"/>
      <c r="LL1" s="63"/>
      <c r="LM1" s="63"/>
      <c r="LN1" s="63"/>
      <c r="LO1" s="63"/>
      <c r="LP1" s="63"/>
      <c r="LQ1" s="63"/>
      <c r="LR1" s="63"/>
      <c r="LS1" s="63"/>
      <c r="LT1" s="63"/>
      <c r="LU1" s="63"/>
      <c r="LV1" s="63"/>
      <c r="LW1" s="63"/>
      <c r="LX1" s="63"/>
      <c r="LY1" s="63"/>
      <c r="LZ1" s="63"/>
      <c r="MA1" s="63"/>
      <c r="MB1" s="63"/>
      <c r="MC1" s="63"/>
      <c r="MD1" s="63"/>
      <c r="ME1" s="63"/>
      <c r="MF1" s="63"/>
      <c r="MG1" s="63"/>
      <c r="MH1" s="63"/>
      <c r="MI1" s="63"/>
      <c r="MJ1" s="63"/>
      <c r="MK1" s="63"/>
      <c r="ML1" s="63"/>
      <c r="MM1" s="63"/>
      <c r="MN1" s="63"/>
      <c r="MO1" s="63"/>
      <c r="MP1" s="63"/>
      <c r="MQ1" s="63"/>
      <c r="MR1" s="63"/>
      <c r="MS1" s="63"/>
      <c r="MT1" s="63"/>
      <c r="MU1" s="63"/>
      <c r="MV1" s="63"/>
      <c r="MW1" s="63"/>
      <c r="MX1" s="63"/>
      <c r="MY1" s="63"/>
      <c r="MZ1" s="63"/>
      <c r="NA1" s="63"/>
      <c r="NB1" s="63"/>
      <c r="NC1" s="63"/>
      <c r="ND1" s="63"/>
      <c r="NE1" s="63"/>
      <c r="NF1" s="63"/>
      <c r="NG1" s="63"/>
      <c r="NH1" s="63"/>
      <c r="NI1" s="63"/>
      <c r="NJ1" s="63"/>
      <c r="NK1" s="63"/>
      <c r="NL1" s="63"/>
      <c r="NM1" s="63"/>
      <c r="NN1" s="63"/>
      <c r="NO1" s="63"/>
      <c r="NP1" s="63"/>
      <c r="NQ1" s="63"/>
      <c r="NR1" s="63"/>
      <c r="NS1" s="63"/>
      <c r="NT1" s="63"/>
      <c r="NU1" s="63"/>
      <c r="NV1" s="63"/>
      <c r="NW1" s="63"/>
      <c r="NX1" s="63"/>
      <c r="NY1" s="63"/>
      <c r="NZ1" s="63"/>
      <c r="OA1" s="63"/>
      <c r="OB1" s="63"/>
      <c r="OC1" s="63"/>
      <c r="OD1" s="63"/>
      <c r="OE1" s="63"/>
      <c r="OF1" s="63"/>
      <c r="OG1" s="63"/>
      <c r="OH1" s="63"/>
      <c r="OI1" s="63"/>
      <c r="OJ1" s="63"/>
      <c r="OK1" s="63"/>
      <c r="OL1" s="63"/>
      <c r="OM1" s="63"/>
      <c r="ON1" s="63"/>
      <c r="OO1" s="63"/>
      <c r="OP1" s="63"/>
      <c r="OQ1" s="63"/>
      <c r="OR1" s="63"/>
      <c r="OS1" s="63"/>
      <c r="OT1" s="63"/>
      <c r="OU1" s="63"/>
      <c r="OV1" s="63"/>
      <c r="OW1" s="63"/>
      <c r="OX1" s="63"/>
      <c r="OY1" s="63"/>
      <c r="OZ1" s="63"/>
      <c r="PA1" s="63"/>
      <c r="PB1" s="63"/>
      <c r="PC1" s="63"/>
      <c r="PD1" s="63"/>
      <c r="PE1" s="63"/>
      <c r="PF1" s="63"/>
      <c r="PG1" s="63"/>
      <c r="PH1" s="63"/>
      <c r="PI1" s="63"/>
      <c r="PJ1" s="63"/>
      <c r="PK1" s="63"/>
      <c r="PL1" s="63"/>
      <c r="PM1" s="63"/>
      <c r="PN1" s="63"/>
      <c r="PO1" s="63"/>
      <c r="PP1" s="63"/>
      <c r="PQ1" s="63"/>
      <c r="PR1" s="63"/>
      <c r="PS1" s="63"/>
      <c r="PT1" s="63"/>
      <c r="PU1" s="63"/>
      <c r="PV1" s="63"/>
      <c r="PW1" s="63"/>
      <c r="PX1" s="63"/>
      <c r="PY1" s="63"/>
      <c r="PZ1" s="63"/>
      <c r="QA1" s="63"/>
      <c r="QB1" s="63"/>
      <c r="QC1" s="63"/>
      <c r="QD1" s="63"/>
      <c r="QE1" s="63"/>
      <c r="QF1" s="63"/>
      <c r="QG1" s="63"/>
      <c r="QH1" s="63"/>
      <c r="QI1" s="63"/>
      <c r="QJ1" s="63"/>
      <c r="QK1" s="63"/>
      <c r="QL1" s="63"/>
      <c r="QM1" s="63"/>
      <c r="QN1" s="63"/>
      <c r="QO1" s="63"/>
      <c r="QP1" s="63"/>
      <c r="QQ1" s="63"/>
      <c r="QR1" s="63"/>
      <c r="QS1" s="63"/>
      <c r="QT1" s="63"/>
      <c r="QU1" s="63"/>
      <c r="QV1" s="63"/>
      <c r="QW1" s="63"/>
      <c r="QX1" s="63"/>
      <c r="QY1" s="63"/>
      <c r="QZ1" s="63"/>
      <c r="RA1" s="63"/>
      <c r="RB1" s="63"/>
      <c r="RC1" s="63"/>
      <c r="RD1" s="63"/>
      <c r="RE1" s="63"/>
      <c r="RF1" s="63"/>
      <c r="RG1" s="63"/>
      <c r="RH1" s="63"/>
      <c r="RI1" s="63"/>
      <c r="RJ1" s="63"/>
      <c r="RK1" s="63"/>
      <c r="RL1" s="63"/>
      <c r="RM1" s="63"/>
      <c r="RN1" s="63"/>
      <c r="RO1" s="63"/>
      <c r="RP1" s="63"/>
      <c r="RQ1" s="63"/>
      <c r="RR1" s="63"/>
      <c r="RS1" s="63"/>
      <c r="RT1" s="63"/>
      <c r="RU1" s="63"/>
      <c r="RV1" s="63"/>
      <c r="RW1" s="63"/>
      <c r="RX1" s="63"/>
      <c r="RY1" s="63"/>
      <c r="RZ1" s="63"/>
      <c r="SA1" s="63"/>
      <c r="SB1" s="63"/>
      <c r="SC1" s="63"/>
      <c r="SD1" s="63"/>
      <c r="SE1" s="63"/>
      <c r="SF1" s="63"/>
      <c r="SG1" s="63"/>
      <c r="SH1" s="63"/>
      <c r="SI1" s="63"/>
      <c r="SJ1" s="63"/>
      <c r="SK1" s="63"/>
      <c r="SL1" s="63"/>
      <c r="SM1" s="63"/>
      <c r="SN1" s="63"/>
      <c r="SO1" s="63"/>
      <c r="SP1" s="63"/>
      <c r="SQ1" s="63"/>
      <c r="SR1" s="63"/>
      <c r="SS1" s="63"/>
      <c r="ST1" s="63"/>
      <c r="SU1" s="63"/>
      <c r="SV1" s="63"/>
      <c r="SW1" s="63"/>
      <c r="SX1" s="63"/>
      <c r="SY1" s="63"/>
      <c r="SZ1" s="63"/>
      <c r="TA1" s="63"/>
      <c r="TB1" s="63"/>
      <c r="TC1" s="63"/>
      <c r="TD1" s="63"/>
      <c r="TE1" s="63"/>
      <c r="TF1" s="63"/>
      <c r="TG1" s="63"/>
      <c r="TH1" s="63"/>
      <c r="TI1" s="63"/>
      <c r="TJ1" s="63"/>
      <c r="TK1" s="63"/>
      <c r="TL1" s="63"/>
      <c r="TM1" s="63"/>
      <c r="TN1" s="63"/>
      <c r="TO1" s="63"/>
      <c r="TP1" s="63"/>
      <c r="TQ1" s="63"/>
      <c r="TR1" s="63"/>
      <c r="TS1" s="63"/>
      <c r="TT1" s="63"/>
      <c r="TU1" s="63"/>
      <c r="TV1" s="63"/>
      <c r="TW1" s="63"/>
      <c r="TX1" s="63"/>
      <c r="TY1" s="63"/>
      <c r="TZ1" s="63"/>
      <c r="UA1" s="63"/>
      <c r="UB1" s="63"/>
      <c r="UC1" s="63"/>
      <c r="UD1" s="63"/>
      <c r="UE1" s="63"/>
      <c r="UF1" s="63"/>
      <c r="UG1" s="63"/>
      <c r="UH1" s="63"/>
      <c r="UI1" s="63"/>
      <c r="UJ1" s="63"/>
      <c r="UK1" s="63"/>
      <c r="UL1" s="63"/>
      <c r="UM1" s="63"/>
      <c r="UN1" s="63"/>
      <c r="UO1" s="63"/>
      <c r="UP1" s="63"/>
      <c r="UQ1" s="63"/>
      <c r="UR1" s="63"/>
      <c r="US1" s="63"/>
      <c r="UT1" s="63"/>
      <c r="UU1" s="63"/>
      <c r="UV1" s="63"/>
      <c r="UW1" s="63"/>
      <c r="UX1" s="63"/>
      <c r="UY1" s="63"/>
      <c r="UZ1" s="63"/>
      <c r="VA1" s="63"/>
      <c r="VB1" s="63"/>
      <c r="VC1" s="63"/>
      <c r="VD1" s="63"/>
      <c r="VE1" s="63"/>
      <c r="VF1" s="63"/>
      <c r="VG1" s="63"/>
      <c r="VH1" s="63"/>
      <c r="VI1" s="63"/>
      <c r="VJ1" s="63"/>
      <c r="VK1" s="63"/>
      <c r="VL1" s="63"/>
      <c r="VM1" s="63"/>
      <c r="VN1" s="63"/>
      <c r="VO1" s="63"/>
      <c r="VP1" s="63"/>
      <c r="VQ1" s="63"/>
      <c r="VR1" s="63"/>
      <c r="VS1" s="63"/>
      <c r="VT1" s="63"/>
      <c r="VU1" s="63"/>
      <c r="VV1" s="63"/>
      <c r="VW1" s="63"/>
      <c r="VX1" s="63"/>
      <c r="VY1" s="63"/>
      <c r="VZ1" s="63"/>
      <c r="WA1" s="63"/>
      <c r="WB1" s="63"/>
      <c r="WC1" s="63"/>
      <c r="WD1" s="63"/>
      <c r="WE1" s="63"/>
      <c r="WF1" s="63"/>
      <c r="WG1" s="63"/>
      <c r="WH1" s="63"/>
      <c r="WI1" s="63"/>
      <c r="WJ1" s="63"/>
      <c r="WK1" s="63"/>
      <c r="WL1" s="63"/>
      <c r="WM1" s="63"/>
      <c r="WN1" s="63"/>
      <c r="WO1" s="63"/>
      <c r="WP1" s="63"/>
      <c r="WQ1" s="63"/>
      <c r="WR1" s="63"/>
      <c r="WS1" s="63"/>
      <c r="WT1" s="63"/>
      <c r="WU1" s="63"/>
      <c r="WV1" s="63"/>
      <c r="WW1" s="63"/>
      <c r="WX1" s="63"/>
      <c r="WY1" s="63"/>
      <c r="WZ1" s="63"/>
      <c r="XA1" s="63"/>
      <c r="XB1" s="63"/>
      <c r="XC1" s="63"/>
      <c r="XD1" s="63"/>
      <c r="XE1" s="63"/>
      <c r="XF1" s="63"/>
      <c r="XG1" s="63"/>
      <c r="XH1" s="63"/>
      <c r="XI1" s="63"/>
      <c r="XJ1" s="63"/>
      <c r="XK1" s="63"/>
      <c r="XL1" s="63"/>
      <c r="XM1" s="63"/>
      <c r="XN1" s="63"/>
      <c r="XO1" s="63"/>
      <c r="XP1" s="63"/>
      <c r="XQ1" s="63"/>
      <c r="XR1" s="63"/>
      <c r="XS1" s="63"/>
      <c r="XT1" s="63"/>
      <c r="XU1" s="63"/>
      <c r="XV1" s="63"/>
      <c r="XW1" s="63"/>
      <c r="XX1" s="63"/>
      <c r="XY1" s="63"/>
      <c r="XZ1" s="63"/>
      <c r="YA1" s="63"/>
      <c r="YB1" s="63"/>
      <c r="YC1" s="63"/>
      <c r="YD1" s="63"/>
      <c r="YE1" s="63"/>
      <c r="YF1" s="63"/>
      <c r="YG1" s="63"/>
      <c r="YH1" s="63"/>
      <c r="YI1" s="63"/>
      <c r="YJ1" s="63"/>
      <c r="YK1" s="63"/>
      <c r="YL1" s="63"/>
      <c r="YM1" s="63"/>
      <c r="YN1" s="63"/>
      <c r="YO1" s="63"/>
      <c r="YP1" s="63"/>
      <c r="YQ1" s="63"/>
      <c r="YR1" s="63"/>
      <c r="YS1" s="63"/>
      <c r="YT1" s="63"/>
      <c r="YU1" s="63"/>
      <c r="YV1" s="63"/>
      <c r="YW1" s="63"/>
      <c r="YX1" s="63"/>
      <c r="YY1" s="63"/>
      <c r="YZ1" s="63"/>
      <c r="ZA1" s="63"/>
      <c r="ZB1" s="63"/>
      <c r="ZC1" s="63"/>
      <c r="ZD1" s="63"/>
      <c r="ZE1" s="63"/>
      <c r="ZF1" s="63"/>
      <c r="ZG1" s="63"/>
    </row>
    <row r="2" spans="1:683">
      <c r="A2" s="199"/>
      <c r="B2" s="199"/>
      <c r="C2" s="199"/>
      <c r="D2" s="312"/>
      <c r="E2" s="312"/>
      <c r="F2" s="312"/>
      <c r="G2" s="201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201"/>
      <c r="AF2" s="63"/>
      <c r="AG2" s="199"/>
      <c r="AH2" s="199"/>
      <c r="AI2" s="199"/>
      <c r="AJ2" s="199"/>
      <c r="AK2" s="230"/>
      <c r="AL2" s="230"/>
      <c r="AM2" s="63"/>
      <c r="AN2" s="63"/>
      <c r="AO2" s="63"/>
      <c r="AP2" s="63"/>
      <c r="AQ2" s="231"/>
      <c r="AR2" s="202"/>
      <c r="AS2" s="202"/>
      <c r="AT2" s="202"/>
      <c r="AU2" s="63"/>
      <c r="AV2" s="202"/>
      <c r="AW2" s="202"/>
      <c r="AX2" s="202"/>
      <c r="AY2" s="63"/>
      <c r="AZ2" s="202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63"/>
      <c r="DR2" s="63"/>
      <c r="DS2" s="63"/>
      <c r="DT2" s="63"/>
      <c r="DU2" s="63"/>
      <c r="DV2" s="63"/>
      <c r="DW2" s="63"/>
      <c r="DX2" s="63"/>
      <c r="DY2" s="63"/>
      <c r="DZ2" s="63"/>
      <c r="EA2" s="63"/>
      <c r="EB2" s="63"/>
      <c r="EC2" s="63"/>
      <c r="ED2" s="63"/>
      <c r="EE2" s="63"/>
      <c r="EF2" s="63"/>
      <c r="EG2" s="63"/>
      <c r="EH2" s="63"/>
      <c r="EI2" s="63"/>
      <c r="EJ2" s="63"/>
      <c r="EK2" s="63"/>
      <c r="EL2" s="63"/>
      <c r="EM2" s="63"/>
      <c r="EN2" s="63"/>
      <c r="EO2" s="63"/>
      <c r="EP2" s="63"/>
      <c r="EQ2" s="63"/>
      <c r="ER2" s="63"/>
      <c r="ES2" s="63"/>
      <c r="ET2" s="63"/>
      <c r="EU2" s="63"/>
      <c r="EV2" s="63"/>
      <c r="EW2" s="63"/>
      <c r="EX2" s="63"/>
      <c r="EY2" s="63"/>
      <c r="EZ2" s="63"/>
      <c r="FA2" s="63"/>
      <c r="FB2" s="63"/>
      <c r="FC2" s="63"/>
      <c r="FD2" s="63"/>
      <c r="FE2" s="63"/>
      <c r="FF2" s="63"/>
      <c r="FG2" s="63"/>
      <c r="FH2" s="63"/>
      <c r="FI2" s="63"/>
      <c r="FJ2" s="63"/>
      <c r="FK2" s="63"/>
      <c r="FL2" s="63"/>
      <c r="FM2" s="63"/>
      <c r="FN2" s="63"/>
      <c r="FO2" s="63"/>
      <c r="FP2" s="63"/>
      <c r="FQ2" s="63"/>
      <c r="FR2" s="63"/>
      <c r="FS2" s="63"/>
      <c r="FT2" s="63"/>
      <c r="FU2" s="63"/>
      <c r="FV2" s="63"/>
      <c r="FW2" s="63"/>
      <c r="FX2" s="63"/>
      <c r="FY2" s="63"/>
      <c r="FZ2" s="63"/>
      <c r="GA2" s="63"/>
      <c r="GB2" s="63"/>
      <c r="GC2" s="63"/>
      <c r="GD2" s="63"/>
      <c r="GE2" s="63"/>
      <c r="GF2" s="63"/>
      <c r="GG2" s="63"/>
      <c r="GH2" s="63"/>
      <c r="GI2" s="63"/>
      <c r="GJ2" s="63"/>
      <c r="GK2" s="63"/>
      <c r="GL2" s="63"/>
      <c r="GM2" s="63"/>
      <c r="GN2" s="63"/>
      <c r="GO2" s="63"/>
      <c r="GP2" s="63"/>
      <c r="GQ2" s="63"/>
      <c r="GR2" s="63"/>
      <c r="GS2" s="63"/>
      <c r="GT2" s="63"/>
      <c r="GU2" s="63"/>
      <c r="GV2" s="63"/>
      <c r="GW2" s="63"/>
      <c r="GX2" s="63"/>
      <c r="GY2" s="63"/>
      <c r="GZ2" s="63"/>
      <c r="HA2" s="63"/>
      <c r="HB2" s="63"/>
      <c r="HC2" s="63"/>
      <c r="HD2" s="63"/>
      <c r="HE2" s="63"/>
      <c r="HF2" s="63"/>
      <c r="HG2" s="63"/>
      <c r="HH2" s="63"/>
      <c r="HI2" s="63"/>
      <c r="HJ2" s="63"/>
      <c r="HK2" s="63"/>
      <c r="HL2" s="63"/>
      <c r="HM2" s="63"/>
      <c r="HN2" s="63"/>
      <c r="HO2" s="63"/>
      <c r="HP2" s="63"/>
      <c r="HQ2" s="63"/>
      <c r="HR2" s="63"/>
      <c r="HS2" s="63"/>
      <c r="HT2" s="63"/>
      <c r="HU2" s="63"/>
      <c r="HV2" s="63"/>
      <c r="HW2" s="63"/>
      <c r="HX2" s="63"/>
      <c r="HY2" s="63"/>
      <c r="HZ2" s="63"/>
      <c r="IA2" s="63"/>
      <c r="IB2" s="63"/>
      <c r="IC2" s="63"/>
      <c r="ID2" s="63"/>
      <c r="IE2" s="63"/>
      <c r="IF2" s="63"/>
      <c r="IG2" s="63"/>
      <c r="IH2" s="63"/>
      <c r="II2" s="63"/>
      <c r="IJ2" s="63"/>
      <c r="IK2" s="63"/>
      <c r="IL2" s="63"/>
      <c r="IM2" s="63"/>
      <c r="IN2" s="63"/>
      <c r="IO2" s="63"/>
      <c r="IP2" s="63"/>
      <c r="IQ2" s="63"/>
      <c r="IR2" s="63"/>
      <c r="IS2" s="63"/>
      <c r="IT2" s="63"/>
      <c r="IU2" s="63"/>
      <c r="IV2" s="63"/>
      <c r="IW2" s="63"/>
      <c r="IX2" s="63"/>
      <c r="IY2" s="63"/>
      <c r="IZ2" s="63"/>
      <c r="JA2" s="63"/>
      <c r="JB2" s="63"/>
      <c r="JC2" s="63"/>
      <c r="JD2" s="63"/>
      <c r="JE2" s="63"/>
      <c r="JF2" s="63"/>
      <c r="JG2" s="63"/>
      <c r="JH2" s="63"/>
      <c r="JI2" s="63"/>
      <c r="JJ2" s="63"/>
      <c r="JK2" s="63"/>
      <c r="JL2" s="63"/>
      <c r="JM2" s="63"/>
      <c r="JN2" s="63"/>
      <c r="JO2" s="63"/>
      <c r="JP2" s="63"/>
      <c r="JQ2" s="63"/>
      <c r="JR2" s="63"/>
      <c r="JS2" s="63"/>
      <c r="JT2" s="63"/>
      <c r="JU2" s="63"/>
      <c r="JV2" s="63"/>
      <c r="JW2" s="63"/>
      <c r="JX2" s="63"/>
      <c r="JY2" s="63"/>
      <c r="JZ2" s="63"/>
      <c r="KA2" s="63"/>
      <c r="KB2" s="63"/>
      <c r="KC2" s="63"/>
      <c r="KD2" s="63"/>
      <c r="KE2" s="63"/>
      <c r="KF2" s="63"/>
      <c r="KG2" s="63"/>
      <c r="KH2" s="63"/>
      <c r="KI2" s="63"/>
      <c r="KJ2" s="63"/>
      <c r="KK2" s="63"/>
      <c r="KL2" s="63"/>
      <c r="KM2" s="63"/>
      <c r="KN2" s="63"/>
      <c r="KO2" s="63"/>
      <c r="KP2" s="63"/>
      <c r="KQ2" s="63"/>
      <c r="KR2" s="63"/>
      <c r="KS2" s="63"/>
      <c r="KT2" s="63"/>
      <c r="KU2" s="63"/>
      <c r="KV2" s="63"/>
      <c r="KW2" s="63"/>
      <c r="KX2" s="63"/>
      <c r="KY2" s="63"/>
      <c r="KZ2" s="63"/>
      <c r="LA2" s="63"/>
      <c r="LB2" s="63"/>
      <c r="LC2" s="63"/>
      <c r="LD2" s="63"/>
      <c r="LE2" s="63"/>
      <c r="LF2" s="63"/>
      <c r="LG2" s="63"/>
      <c r="LH2" s="63"/>
      <c r="LI2" s="63"/>
      <c r="LJ2" s="63"/>
      <c r="LK2" s="63"/>
      <c r="LL2" s="63"/>
      <c r="LM2" s="63"/>
      <c r="LN2" s="63"/>
      <c r="LO2" s="63"/>
      <c r="LP2" s="63"/>
      <c r="LQ2" s="63"/>
      <c r="LR2" s="63"/>
      <c r="LS2" s="63"/>
      <c r="LT2" s="63"/>
      <c r="LU2" s="63"/>
      <c r="LV2" s="63"/>
      <c r="LW2" s="63"/>
      <c r="LX2" s="63"/>
      <c r="LY2" s="63"/>
      <c r="LZ2" s="63"/>
      <c r="MA2" s="63"/>
      <c r="MB2" s="63"/>
      <c r="MC2" s="63"/>
      <c r="MD2" s="63"/>
      <c r="ME2" s="63"/>
      <c r="MF2" s="63"/>
      <c r="MG2" s="63"/>
      <c r="MH2" s="63"/>
      <c r="MI2" s="63"/>
      <c r="MJ2" s="63"/>
      <c r="MK2" s="63"/>
      <c r="ML2" s="63"/>
      <c r="MM2" s="63"/>
      <c r="MN2" s="63"/>
      <c r="MO2" s="63"/>
      <c r="MP2" s="63"/>
      <c r="MQ2" s="63"/>
      <c r="MR2" s="63"/>
      <c r="MS2" s="63"/>
      <c r="MT2" s="63"/>
      <c r="MU2" s="63"/>
      <c r="MV2" s="63"/>
      <c r="MW2" s="63"/>
      <c r="MX2" s="63"/>
      <c r="MY2" s="63"/>
      <c r="MZ2" s="63"/>
      <c r="NA2" s="63"/>
      <c r="NB2" s="63"/>
      <c r="NC2" s="63"/>
      <c r="ND2" s="63"/>
      <c r="NE2" s="63"/>
      <c r="NF2" s="63"/>
      <c r="NG2" s="63"/>
      <c r="NH2" s="63"/>
      <c r="NI2" s="63"/>
      <c r="NJ2" s="63"/>
      <c r="NK2" s="63"/>
      <c r="NL2" s="63"/>
      <c r="NM2" s="63"/>
      <c r="NN2" s="63"/>
      <c r="NO2" s="63"/>
      <c r="NP2" s="63"/>
      <c r="NQ2" s="63"/>
      <c r="NR2" s="63"/>
      <c r="NS2" s="63"/>
      <c r="NT2" s="63"/>
      <c r="NU2" s="63"/>
      <c r="NV2" s="63"/>
      <c r="NW2" s="63"/>
      <c r="NX2" s="63"/>
      <c r="NY2" s="63"/>
      <c r="NZ2" s="63"/>
      <c r="OA2" s="63"/>
      <c r="OB2" s="63"/>
      <c r="OC2" s="63"/>
      <c r="OD2" s="63"/>
      <c r="OE2" s="63"/>
      <c r="OF2" s="63"/>
      <c r="OG2" s="63"/>
      <c r="OH2" s="63"/>
      <c r="OI2" s="63"/>
      <c r="OJ2" s="63"/>
      <c r="OK2" s="63"/>
      <c r="OL2" s="63"/>
      <c r="OM2" s="63"/>
      <c r="ON2" s="63"/>
      <c r="OO2" s="63"/>
      <c r="OP2" s="63"/>
      <c r="OQ2" s="63"/>
      <c r="OR2" s="63"/>
      <c r="OS2" s="63"/>
      <c r="OT2" s="63"/>
      <c r="OU2" s="63"/>
      <c r="OV2" s="63"/>
      <c r="OW2" s="63"/>
      <c r="OX2" s="63"/>
      <c r="OY2" s="63"/>
      <c r="OZ2" s="63"/>
      <c r="PA2" s="63"/>
      <c r="PB2" s="63"/>
      <c r="PC2" s="63"/>
      <c r="PD2" s="63"/>
      <c r="PE2" s="63"/>
      <c r="PF2" s="63"/>
      <c r="PG2" s="63"/>
      <c r="PH2" s="63"/>
      <c r="PI2" s="63"/>
      <c r="PJ2" s="63"/>
      <c r="PK2" s="63"/>
      <c r="PL2" s="63"/>
      <c r="PM2" s="63"/>
      <c r="PN2" s="63"/>
      <c r="PO2" s="63"/>
      <c r="PP2" s="63"/>
      <c r="PQ2" s="63"/>
      <c r="PR2" s="63"/>
      <c r="PS2" s="63"/>
      <c r="PT2" s="63"/>
      <c r="PU2" s="63"/>
      <c r="PV2" s="63"/>
      <c r="PW2" s="63"/>
      <c r="PX2" s="63"/>
      <c r="PY2" s="63"/>
      <c r="PZ2" s="63"/>
      <c r="QA2" s="63"/>
      <c r="QB2" s="63"/>
      <c r="QC2" s="63"/>
      <c r="QD2" s="63"/>
      <c r="QE2" s="63"/>
      <c r="QF2" s="63"/>
      <c r="QG2" s="63"/>
      <c r="QH2" s="63"/>
      <c r="QI2" s="63"/>
      <c r="QJ2" s="63"/>
      <c r="QK2" s="63"/>
      <c r="QL2" s="63"/>
      <c r="QM2" s="63"/>
      <c r="QN2" s="63"/>
      <c r="QO2" s="63"/>
      <c r="QP2" s="63"/>
      <c r="QQ2" s="63"/>
      <c r="QR2" s="63"/>
      <c r="QS2" s="63"/>
      <c r="QT2" s="63"/>
      <c r="QU2" s="63"/>
      <c r="QV2" s="63"/>
      <c r="QW2" s="63"/>
      <c r="QX2" s="63"/>
      <c r="QY2" s="63"/>
      <c r="QZ2" s="63"/>
      <c r="RA2" s="63"/>
      <c r="RB2" s="63"/>
      <c r="RC2" s="63"/>
      <c r="RD2" s="63"/>
      <c r="RE2" s="63"/>
      <c r="RF2" s="63"/>
      <c r="RG2" s="63"/>
      <c r="RH2" s="63"/>
      <c r="RI2" s="63"/>
      <c r="RJ2" s="63"/>
      <c r="RK2" s="63"/>
      <c r="RL2" s="63"/>
      <c r="RM2" s="63"/>
      <c r="RN2" s="63"/>
      <c r="RO2" s="63"/>
      <c r="RP2" s="63"/>
      <c r="RQ2" s="63"/>
      <c r="RR2" s="63"/>
      <c r="RS2" s="63"/>
      <c r="RT2" s="63"/>
      <c r="RU2" s="63"/>
      <c r="RV2" s="63"/>
      <c r="RW2" s="63"/>
      <c r="RX2" s="63"/>
      <c r="RY2" s="63"/>
      <c r="RZ2" s="63"/>
      <c r="SA2" s="63"/>
      <c r="SB2" s="63"/>
      <c r="SC2" s="63"/>
      <c r="SD2" s="63"/>
      <c r="SE2" s="63"/>
      <c r="SF2" s="63"/>
      <c r="SG2" s="63"/>
      <c r="SH2" s="63"/>
      <c r="SI2" s="63"/>
      <c r="SJ2" s="63"/>
      <c r="SK2" s="63"/>
      <c r="SL2" s="63"/>
      <c r="SM2" s="63"/>
      <c r="SN2" s="63"/>
      <c r="SO2" s="63"/>
      <c r="SP2" s="63"/>
      <c r="SQ2" s="63"/>
      <c r="SR2" s="63"/>
      <c r="SS2" s="63"/>
      <c r="ST2" s="63"/>
      <c r="SU2" s="63"/>
      <c r="SV2" s="63"/>
      <c r="SW2" s="63"/>
      <c r="SX2" s="63"/>
      <c r="SY2" s="63"/>
      <c r="SZ2" s="63"/>
      <c r="TA2" s="63"/>
      <c r="TB2" s="63"/>
      <c r="TC2" s="63"/>
      <c r="TD2" s="63"/>
      <c r="TE2" s="63"/>
      <c r="TF2" s="63"/>
      <c r="TG2" s="63"/>
      <c r="TH2" s="63"/>
      <c r="TI2" s="63"/>
      <c r="TJ2" s="63"/>
      <c r="TK2" s="63"/>
      <c r="TL2" s="63"/>
      <c r="TM2" s="63"/>
      <c r="TN2" s="63"/>
      <c r="TO2" s="63"/>
      <c r="TP2" s="63"/>
      <c r="TQ2" s="63"/>
      <c r="TR2" s="63"/>
      <c r="TS2" s="63"/>
      <c r="TT2" s="63"/>
      <c r="TU2" s="63"/>
      <c r="TV2" s="63"/>
      <c r="TW2" s="63"/>
      <c r="TX2" s="63"/>
      <c r="TY2" s="63"/>
      <c r="TZ2" s="63"/>
      <c r="UA2" s="63"/>
      <c r="UB2" s="63"/>
      <c r="UC2" s="63"/>
      <c r="UD2" s="63"/>
      <c r="UE2" s="63"/>
      <c r="UF2" s="63"/>
      <c r="UG2" s="63"/>
      <c r="UH2" s="63"/>
      <c r="UI2" s="63"/>
      <c r="UJ2" s="63"/>
      <c r="UK2" s="63"/>
      <c r="UL2" s="63"/>
      <c r="UM2" s="63"/>
      <c r="UN2" s="63"/>
      <c r="UO2" s="63"/>
      <c r="UP2" s="63"/>
      <c r="UQ2" s="63"/>
      <c r="UR2" s="63"/>
      <c r="US2" s="63"/>
      <c r="UT2" s="63"/>
      <c r="UU2" s="63"/>
      <c r="UV2" s="63"/>
      <c r="UW2" s="63"/>
      <c r="UX2" s="63"/>
      <c r="UY2" s="63"/>
      <c r="UZ2" s="63"/>
      <c r="VA2" s="63"/>
      <c r="VB2" s="63"/>
      <c r="VC2" s="63"/>
      <c r="VD2" s="63"/>
      <c r="VE2" s="63"/>
      <c r="VF2" s="63"/>
      <c r="VG2" s="63"/>
      <c r="VH2" s="63"/>
      <c r="VI2" s="63"/>
      <c r="VJ2" s="63"/>
      <c r="VK2" s="63"/>
      <c r="VL2" s="63"/>
      <c r="VM2" s="63"/>
      <c r="VN2" s="63"/>
      <c r="VO2" s="63"/>
      <c r="VP2" s="63"/>
      <c r="VQ2" s="63"/>
      <c r="VR2" s="63"/>
      <c r="VS2" s="63"/>
      <c r="VT2" s="63"/>
      <c r="VU2" s="63"/>
      <c r="VV2" s="63"/>
      <c r="VW2" s="63"/>
      <c r="VX2" s="63"/>
      <c r="VY2" s="63"/>
      <c r="VZ2" s="63"/>
      <c r="WA2" s="63"/>
      <c r="WB2" s="63"/>
      <c r="WC2" s="63"/>
      <c r="WD2" s="63"/>
      <c r="WE2" s="63"/>
      <c r="WF2" s="63"/>
      <c r="WG2" s="63"/>
      <c r="WH2" s="63"/>
      <c r="WI2" s="63"/>
      <c r="WJ2" s="63"/>
      <c r="WK2" s="63"/>
      <c r="WL2" s="63"/>
      <c r="WM2" s="63"/>
      <c r="WN2" s="63"/>
      <c r="WO2" s="63"/>
      <c r="WP2" s="63"/>
      <c r="WQ2" s="63"/>
      <c r="WR2" s="63"/>
      <c r="WS2" s="63"/>
      <c r="WT2" s="63"/>
      <c r="WU2" s="63"/>
      <c r="WV2" s="63"/>
      <c r="WW2" s="63"/>
      <c r="WX2" s="63"/>
      <c r="WY2" s="63"/>
      <c r="WZ2" s="63"/>
      <c r="XA2" s="63"/>
      <c r="XB2" s="63"/>
      <c r="XC2" s="63"/>
      <c r="XD2" s="63"/>
      <c r="XE2" s="63"/>
      <c r="XF2" s="63"/>
      <c r="XG2" s="63"/>
      <c r="XH2" s="63"/>
      <c r="XI2" s="63"/>
      <c r="XJ2" s="63"/>
      <c r="XK2" s="63"/>
      <c r="XL2" s="63"/>
      <c r="XM2" s="63"/>
      <c r="XN2" s="63"/>
      <c r="XO2" s="63"/>
      <c r="XP2" s="63"/>
      <c r="XQ2" s="63"/>
      <c r="XR2" s="63"/>
      <c r="XS2" s="63"/>
      <c r="XT2" s="63"/>
      <c r="XU2" s="63"/>
      <c r="XV2" s="63"/>
      <c r="XW2" s="63"/>
      <c r="XX2" s="63"/>
      <c r="XY2" s="63"/>
      <c r="XZ2" s="63"/>
      <c r="YA2" s="63"/>
      <c r="YB2" s="63"/>
      <c r="YC2" s="63"/>
      <c r="YD2" s="63"/>
      <c r="YE2" s="63"/>
      <c r="YF2" s="63"/>
      <c r="YG2" s="63"/>
      <c r="YH2" s="63"/>
      <c r="YI2" s="63"/>
      <c r="YJ2" s="63"/>
      <c r="YK2" s="63"/>
      <c r="YL2" s="63"/>
      <c r="YM2" s="63"/>
      <c r="YN2" s="63"/>
      <c r="YO2" s="63"/>
      <c r="YP2" s="63"/>
      <c r="YQ2" s="63"/>
      <c r="YR2" s="63"/>
      <c r="YS2" s="63"/>
      <c r="YT2" s="63"/>
      <c r="YU2" s="63"/>
      <c r="YV2" s="63"/>
      <c r="YW2" s="63"/>
      <c r="YX2" s="63"/>
      <c r="YY2" s="63"/>
      <c r="YZ2" s="63"/>
      <c r="ZA2" s="63"/>
      <c r="ZB2" s="63"/>
      <c r="ZC2" s="63"/>
      <c r="ZD2" s="63"/>
      <c r="ZE2" s="63"/>
      <c r="ZF2" s="63"/>
      <c r="ZG2" s="63"/>
    </row>
    <row r="3" spans="1:683">
      <c r="A3" s="199"/>
      <c r="B3" s="199"/>
      <c r="C3" s="199"/>
      <c r="D3" s="312" t="s">
        <v>0</v>
      </c>
      <c r="E3" s="312"/>
      <c r="F3" s="312"/>
      <c r="G3" s="201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201"/>
      <c r="AF3" s="63"/>
      <c r="AG3" s="199"/>
      <c r="AH3" s="199"/>
      <c r="AI3" s="199"/>
      <c r="AJ3" s="199"/>
      <c r="AK3" s="230"/>
      <c r="AL3" s="230"/>
      <c r="AM3" s="201"/>
      <c r="AN3" s="201"/>
      <c r="AO3" s="201"/>
      <c r="AP3" s="201"/>
      <c r="AQ3" s="231"/>
      <c r="AR3" s="202"/>
      <c r="AS3" s="202"/>
      <c r="AT3" s="202"/>
      <c r="AU3" s="63"/>
      <c r="AV3" s="202"/>
      <c r="AW3" s="202"/>
      <c r="AX3" s="202"/>
      <c r="AY3" s="202"/>
      <c r="AZ3" s="202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63"/>
      <c r="FB3" s="63"/>
      <c r="FC3" s="63"/>
      <c r="FD3" s="63"/>
      <c r="FE3" s="63"/>
      <c r="FF3" s="63"/>
      <c r="FG3" s="63"/>
      <c r="FH3" s="63"/>
      <c r="FI3" s="63"/>
      <c r="FJ3" s="63"/>
      <c r="FK3" s="63"/>
      <c r="FL3" s="63"/>
      <c r="FM3" s="63"/>
      <c r="FN3" s="63"/>
      <c r="FO3" s="63"/>
      <c r="FP3" s="63"/>
      <c r="FQ3" s="63"/>
      <c r="FR3" s="63"/>
      <c r="FS3" s="63"/>
      <c r="FT3" s="63"/>
      <c r="FU3" s="63"/>
      <c r="FV3" s="63"/>
      <c r="FW3" s="63"/>
      <c r="FX3" s="63"/>
      <c r="FY3" s="63"/>
      <c r="FZ3" s="63"/>
      <c r="GA3" s="63"/>
      <c r="GB3" s="63"/>
      <c r="GC3" s="63"/>
      <c r="GD3" s="63"/>
      <c r="GE3" s="63"/>
      <c r="GF3" s="63"/>
      <c r="GG3" s="63"/>
      <c r="GH3" s="63"/>
      <c r="GI3" s="63"/>
      <c r="GJ3" s="63"/>
      <c r="GK3" s="63"/>
      <c r="GL3" s="63"/>
      <c r="GM3" s="63"/>
      <c r="GN3" s="63"/>
      <c r="GO3" s="63"/>
      <c r="GP3" s="63"/>
      <c r="GQ3" s="63"/>
      <c r="GR3" s="63"/>
      <c r="GS3" s="63"/>
      <c r="GT3" s="63"/>
      <c r="GU3" s="63"/>
      <c r="GV3" s="63"/>
      <c r="GW3" s="63"/>
      <c r="GX3" s="63"/>
      <c r="GY3" s="63"/>
      <c r="GZ3" s="63"/>
      <c r="HA3" s="63"/>
      <c r="HB3" s="63"/>
      <c r="HC3" s="63"/>
      <c r="HD3" s="63"/>
      <c r="HE3" s="63"/>
      <c r="HF3" s="63"/>
      <c r="HG3" s="63"/>
      <c r="HH3" s="63"/>
      <c r="HI3" s="63"/>
      <c r="HJ3" s="63"/>
      <c r="HK3" s="63"/>
      <c r="HL3" s="63"/>
      <c r="HM3" s="63"/>
      <c r="HN3" s="63"/>
      <c r="HO3" s="63"/>
      <c r="HP3" s="63"/>
      <c r="HQ3" s="63"/>
      <c r="HR3" s="63"/>
      <c r="HS3" s="63"/>
      <c r="HT3" s="63"/>
      <c r="HU3" s="63"/>
      <c r="HV3" s="63"/>
      <c r="HW3" s="63"/>
      <c r="HX3" s="63"/>
      <c r="HY3" s="63"/>
      <c r="HZ3" s="63"/>
      <c r="IA3" s="63"/>
      <c r="IB3" s="63"/>
      <c r="IC3" s="63"/>
      <c r="ID3" s="63"/>
      <c r="IE3" s="63"/>
      <c r="IF3" s="63"/>
      <c r="IG3" s="63"/>
      <c r="IH3" s="63"/>
      <c r="II3" s="63"/>
      <c r="IJ3" s="63"/>
      <c r="IK3" s="63"/>
      <c r="IL3" s="63"/>
      <c r="IM3" s="63"/>
      <c r="IN3" s="63"/>
      <c r="IO3" s="63"/>
      <c r="IP3" s="63"/>
      <c r="IQ3" s="63"/>
      <c r="IR3" s="63"/>
      <c r="IS3" s="63"/>
      <c r="IT3" s="63"/>
      <c r="IU3" s="63"/>
      <c r="IV3" s="63"/>
      <c r="IW3" s="63"/>
      <c r="IX3" s="63"/>
      <c r="IY3" s="63"/>
      <c r="IZ3" s="63"/>
      <c r="JA3" s="63"/>
      <c r="JB3" s="63"/>
      <c r="JC3" s="63"/>
      <c r="JD3" s="63"/>
      <c r="JE3" s="63"/>
      <c r="JF3" s="63"/>
      <c r="JG3" s="63"/>
      <c r="JH3" s="63"/>
      <c r="JI3" s="63"/>
      <c r="JJ3" s="63"/>
      <c r="JK3" s="63"/>
      <c r="JL3" s="63"/>
      <c r="JM3" s="63"/>
      <c r="JN3" s="63"/>
      <c r="JO3" s="63"/>
      <c r="JP3" s="63"/>
      <c r="JQ3" s="63"/>
      <c r="JR3" s="63"/>
      <c r="JS3" s="63"/>
      <c r="JT3" s="63"/>
      <c r="JU3" s="63"/>
      <c r="JV3" s="63"/>
      <c r="JW3" s="63"/>
      <c r="JX3" s="63"/>
      <c r="JY3" s="63"/>
      <c r="JZ3" s="63"/>
      <c r="KA3" s="63"/>
      <c r="KB3" s="63"/>
      <c r="KC3" s="63"/>
      <c r="KD3" s="63"/>
      <c r="KE3" s="63"/>
      <c r="KF3" s="63"/>
      <c r="KG3" s="63"/>
      <c r="KH3" s="63"/>
      <c r="KI3" s="63"/>
      <c r="KJ3" s="63"/>
      <c r="KK3" s="63"/>
      <c r="KL3" s="63"/>
      <c r="KM3" s="63"/>
      <c r="KN3" s="63"/>
      <c r="KO3" s="63"/>
      <c r="KP3" s="63"/>
      <c r="KQ3" s="63"/>
      <c r="KR3" s="63"/>
      <c r="KS3" s="63"/>
      <c r="KT3" s="63"/>
      <c r="KU3" s="63"/>
      <c r="KV3" s="63"/>
      <c r="KW3" s="63"/>
      <c r="KX3" s="63"/>
      <c r="KY3" s="63"/>
      <c r="KZ3" s="63"/>
      <c r="LA3" s="63"/>
      <c r="LB3" s="63"/>
      <c r="LC3" s="63"/>
      <c r="LD3" s="63"/>
      <c r="LE3" s="63"/>
      <c r="LF3" s="63"/>
      <c r="LG3" s="63"/>
      <c r="LH3" s="63"/>
      <c r="LI3" s="63"/>
      <c r="LJ3" s="63"/>
      <c r="LK3" s="63"/>
      <c r="LL3" s="63"/>
      <c r="LM3" s="63"/>
      <c r="LN3" s="63"/>
      <c r="LO3" s="63"/>
      <c r="LP3" s="63"/>
      <c r="LQ3" s="63"/>
      <c r="LR3" s="63"/>
      <c r="LS3" s="63"/>
      <c r="LT3" s="63"/>
      <c r="LU3" s="63"/>
      <c r="LV3" s="63"/>
      <c r="LW3" s="63"/>
      <c r="LX3" s="63"/>
      <c r="LY3" s="63"/>
      <c r="LZ3" s="63"/>
      <c r="MA3" s="63"/>
      <c r="MB3" s="63"/>
      <c r="MC3" s="63"/>
      <c r="MD3" s="63"/>
      <c r="ME3" s="63"/>
      <c r="MF3" s="63"/>
      <c r="MG3" s="63"/>
      <c r="MH3" s="63"/>
      <c r="MI3" s="63"/>
      <c r="MJ3" s="63"/>
      <c r="MK3" s="63"/>
      <c r="ML3" s="63"/>
      <c r="MM3" s="63"/>
      <c r="MN3" s="63"/>
      <c r="MO3" s="63"/>
      <c r="MP3" s="63"/>
      <c r="MQ3" s="63"/>
      <c r="MR3" s="63"/>
      <c r="MS3" s="63"/>
      <c r="MT3" s="63"/>
      <c r="MU3" s="63"/>
      <c r="MV3" s="63"/>
      <c r="MW3" s="63"/>
      <c r="MX3" s="63"/>
      <c r="MY3" s="63"/>
      <c r="MZ3" s="63"/>
      <c r="NA3" s="63"/>
      <c r="NB3" s="63"/>
      <c r="NC3" s="63"/>
      <c r="ND3" s="63"/>
      <c r="NE3" s="63"/>
      <c r="NF3" s="63"/>
      <c r="NG3" s="63"/>
      <c r="NH3" s="63"/>
      <c r="NI3" s="63"/>
      <c r="NJ3" s="63"/>
      <c r="NK3" s="63"/>
      <c r="NL3" s="63"/>
      <c r="NM3" s="63"/>
      <c r="NN3" s="63"/>
      <c r="NO3" s="63"/>
      <c r="NP3" s="63"/>
      <c r="NQ3" s="63"/>
      <c r="NR3" s="63"/>
      <c r="NS3" s="63"/>
      <c r="NT3" s="63"/>
      <c r="NU3" s="63"/>
      <c r="NV3" s="63"/>
      <c r="NW3" s="63"/>
      <c r="NX3" s="63"/>
      <c r="NY3" s="63"/>
      <c r="NZ3" s="63"/>
      <c r="OA3" s="63"/>
      <c r="OB3" s="63"/>
      <c r="OC3" s="63"/>
      <c r="OD3" s="63"/>
      <c r="OE3" s="63"/>
      <c r="OF3" s="63"/>
      <c r="OG3" s="63"/>
      <c r="OH3" s="63"/>
      <c r="OI3" s="63"/>
      <c r="OJ3" s="63"/>
      <c r="OK3" s="63"/>
      <c r="OL3" s="63"/>
      <c r="OM3" s="63"/>
      <c r="ON3" s="63"/>
      <c r="OO3" s="63"/>
      <c r="OP3" s="63"/>
      <c r="OQ3" s="63"/>
      <c r="OR3" s="63"/>
      <c r="OS3" s="63"/>
      <c r="OT3" s="63"/>
      <c r="OU3" s="63"/>
      <c r="OV3" s="63"/>
      <c r="OW3" s="63"/>
      <c r="OX3" s="63"/>
      <c r="OY3" s="63"/>
      <c r="OZ3" s="63"/>
      <c r="PA3" s="63"/>
      <c r="PB3" s="63"/>
      <c r="PC3" s="63"/>
      <c r="PD3" s="63"/>
      <c r="PE3" s="63"/>
      <c r="PF3" s="63"/>
      <c r="PG3" s="63"/>
      <c r="PH3" s="63"/>
      <c r="PI3" s="63"/>
      <c r="PJ3" s="63"/>
      <c r="PK3" s="63"/>
      <c r="PL3" s="63"/>
      <c r="PM3" s="63"/>
      <c r="PN3" s="63"/>
      <c r="PO3" s="63"/>
      <c r="PP3" s="63"/>
      <c r="PQ3" s="63"/>
      <c r="PR3" s="63"/>
      <c r="PS3" s="63"/>
      <c r="PT3" s="63"/>
      <c r="PU3" s="63"/>
      <c r="PV3" s="63"/>
      <c r="PW3" s="63"/>
      <c r="PX3" s="63"/>
      <c r="PY3" s="63"/>
      <c r="PZ3" s="63"/>
      <c r="QA3" s="63"/>
      <c r="QB3" s="63"/>
      <c r="QC3" s="63"/>
      <c r="QD3" s="63"/>
      <c r="QE3" s="63"/>
      <c r="QF3" s="63"/>
      <c r="QG3" s="63"/>
      <c r="QH3" s="63"/>
      <c r="QI3" s="63"/>
      <c r="QJ3" s="63"/>
      <c r="QK3" s="63"/>
      <c r="QL3" s="63"/>
      <c r="QM3" s="63"/>
      <c r="QN3" s="63"/>
      <c r="QO3" s="63"/>
      <c r="QP3" s="63"/>
      <c r="QQ3" s="63"/>
      <c r="QR3" s="63"/>
      <c r="QS3" s="63"/>
      <c r="QT3" s="63"/>
      <c r="QU3" s="63"/>
      <c r="QV3" s="63"/>
      <c r="QW3" s="63"/>
      <c r="QX3" s="63"/>
      <c r="QY3" s="63"/>
      <c r="QZ3" s="63"/>
      <c r="RA3" s="63"/>
      <c r="RB3" s="63"/>
      <c r="RC3" s="63"/>
      <c r="RD3" s="63"/>
      <c r="RE3" s="63"/>
      <c r="RF3" s="63"/>
      <c r="RG3" s="63"/>
      <c r="RH3" s="63"/>
      <c r="RI3" s="63"/>
      <c r="RJ3" s="63"/>
      <c r="RK3" s="63"/>
      <c r="RL3" s="63"/>
      <c r="RM3" s="63"/>
      <c r="RN3" s="63"/>
      <c r="RO3" s="63"/>
      <c r="RP3" s="63"/>
      <c r="RQ3" s="63"/>
      <c r="RR3" s="63"/>
      <c r="RS3" s="63"/>
      <c r="RT3" s="63"/>
      <c r="RU3" s="63"/>
      <c r="RV3" s="63"/>
      <c r="RW3" s="63"/>
      <c r="RX3" s="63"/>
      <c r="RY3" s="63"/>
      <c r="RZ3" s="63"/>
      <c r="SA3" s="63"/>
      <c r="SB3" s="63"/>
      <c r="SC3" s="63"/>
      <c r="SD3" s="63"/>
      <c r="SE3" s="63"/>
      <c r="SF3" s="63"/>
      <c r="SG3" s="63"/>
      <c r="SH3" s="63"/>
      <c r="SI3" s="63"/>
      <c r="SJ3" s="63"/>
      <c r="SK3" s="63"/>
      <c r="SL3" s="63"/>
      <c r="SM3" s="63"/>
      <c r="SN3" s="63"/>
      <c r="SO3" s="63"/>
      <c r="SP3" s="63"/>
      <c r="SQ3" s="63"/>
      <c r="SR3" s="63"/>
      <c r="SS3" s="63"/>
      <c r="ST3" s="63"/>
      <c r="SU3" s="63"/>
      <c r="SV3" s="63"/>
      <c r="SW3" s="63"/>
      <c r="SX3" s="63"/>
      <c r="SY3" s="63"/>
      <c r="SZ3" s="63"/>
      <c r="TA3" s="63"/>
      <c r="TB3" s="63"/>
      <c r="TC3" s="63"/>
      <c r="TD3" s="63"/>
      <c r="TE3" s="63"/>
      <c r="TF3" s="63"/>
      <c r="TG3" s="63"/>
      <c r="TH3" s="63"/>
      <c r="TI3" s="63"/>
      <c r="TJ3" s="63"/>
      <c r="TK3" s="63"/>
      <c r="TL3" s="63"/>
      <c r="TM3" s="63"/>
      <c r="TN3" s="63"/>
      <c r="TO3" s="63"/>
      <c r="TP3" s="63"/>
      <c r="TQ3" s="63"/>
      <c r="TR3" s="63"/>
      <c r="TS3" s="63"/>
      <c r="TT3" s="63"/>
      <c r="TU3" s="63"/>
      <c r="TV3" s="63"/>
      <c r="TW3" s="63"/>
      <c r="TX3" s="63"/>
      <c r="TY3" s="63"/>
      <c r="TZ3" s="63"/>
      <c r="UA3" s="63"/>
      <c r="UB3" s="63"/>
      <c r="UC3" s="63"/>
      <c r="UD3" s="63"/>
      <c r="UE3" s="63"/>
      <c r="UF3" s="63"/>
      <c r="UG3" s="63"/>
      <c r="UH3" s="63"/>
      <c r="UI3" s="63"/>
      <c r="UJ3" s="63"/>
      <c r="UK3" s="63"/>
      <c r="UL3" s="63"/>
      <c r="UM3" s="63"/>
      <c r="UN3" s="63"/>
      <c r="UO3" s="63"/>
      <c r="UP3" s="63"/>
      <c r="UQ3" s="63"/>
      <c r="UR3" s="63"/>
      <c r="US3" s="63"/>
      <c r="UT3" s="63"/>
      <c r="UU3" s="63"/>
      <c r="UV3" s="63"/>
      <c r="UW3" s="63"/>
      <c r="UX3" s="63"/>
      <c r="UY3" s="63"/>
      <c r="UZ3" s="63"/>
      <c r="VA3" s="63"/>
      <c r="VB3" s="63"/>
      <c r="VC3" s="63"/>
      <c r="VD3" s="63"/>
      <c r="VE3" s="63"/>
      <c r="VF3" s="63"/>
      <c r="VG3" s="63"/>
      <c r="VH3" s="63"/>
      <c r="VI3" s="63"/>
      <c r="VJ3" s="63"/>
      <c r="VK3" s="63"/>
      <c r="VL3" s="63"/>
      <c r="VM3" s="63"/>
      <c r="VN3" s="63"/>
      <c r="VO3" s="63"/>
      <c r="VP3" s="63"/>
      <c r="VQ3" s="63"/>
      <c r="VR3" s="63"/>
      <c r="VS3" s="63"/>
      <c r="VT3" s="63"/>
      <c r="VU3" s="63"/>
      <c r="VV3" s="63"/>
      <c r="VW3" s="63"/>
      <c r="VX3" s="63"/>
      <c r="VY3" s="63"/>
      <c r="VZ3" s="63"/>
      <c r="WA3" s="63"/>
      <c r="WB3" s="63"/>
      <c r="WC3" s="63"/>
      <c r="WD3" s="63"/>
      <c r="WE3" s="63"/>
      <c r="WF3" s="63"/>
      <c r="WG3" s="63"/>
      <c r="WH3" s="63"/>
      <c r="WI3" s="63"/>
      <c r="WJ3" s="63"/>
      <c r="WK3" s="63"/>
      <c r="WL3" s="63"/>
      <c r="WM3" s="63"/>
      <c r="WN3" s="63"/>
      <c r="WO3" s="63"/>
      <c r="WP3" s="63"/>
      <c r="WQ3" s="63"/>
      <c r="WR3" s="63"/>
      <c r="WS3" s="63"/>
      <c r="WT3" s="63"/>
      <c r="WU3" s="63"/>
      <c r="WV3" s="63"/>
      <c r="WW3" s="63"/>
      <c r="WX3" s="63"/>
      <c r="WY3" s="63"/>
      <c r="WZ3" s="63"/>
      <c r="XA3" s="63"/>
      <c r="XB3" s="63"/>
      <c r="XC3" s="63"/>
      <c r="XD3" s="63"/>
      <c r="XE3" s="63"/>
      <c r="XF3" s="63"/>
      <c r="XG3" s="63"/>
      <c r="XH3" s="63"/>
      <c r="XI3" s="63"/>
      <c r="XJ3" s="63"/>
      <c r="XK3" s="63"/>
      <c r="XL3" s="63"/>
      <c r="XM3" s="63"/>
      <c r="XN3" s="63"/>
      <c r="XO3" s="63"/>
      <c r="XP3" s="63"/>
      <c r="XQ3" s="63"/>
      <c r="XR3" s="63"/>
      <c r="XS3" s="63"/>
      <c r="XT3" s="63"/>
      <c r="XU3" s="63"/>
      <c r="XV3" s="63"/>
      <c r="XW3" s="63"/>
      <c r="XX3" s="63"/>
      <c r="XY3" s="63"/>
      <c r="XZ3" s="63"/>
      <c r="YA3" s="63"/>
      <c r="YB3" s="63"/>
      <c r="YC3" s="63"/>
      <c r="YD3" s="63"/>
      <c r="YE3" s="63"/>
      <c r="YF3" s="63"/>
      <c r="YG3" s="63"/>
      <c r="YH3" s="63"/>
      <c r="YI3" s="63"/>
      <c r="YJ3" s="63"/>
      <c r="YK3" s="63"/>
      <c r="YL3" s="63"/>
      <c r="YM3" s="63"/>
      <c r="YN3" s="63"/>
      <c r="YO3" s="63"/>
      <c r="YP3" s="63"/>
      <c r="YQ3" s="63"/>
      <c r="YR3" s="63"/>
      <c r="YS3" s="63"/>
      <c r="YT3" s="63"/>
      <c r="YU3" s="63"/>
      <c r="YV3" s="63"/>
      <c r="YW3" s="63"/>
      <c r="YX3" s="63"/>
      <c r="YY3" s="63"/>
      <c r="YZ3" s="63"/>
      <c r="ZA3" s="63"/>
      <c r="ZB3" s="63"/>
      <c r="ZC3" s="63"/>
      <c r="ZD3" s="63"/>
      <c r="ZE3" s="63"/>
      <c r="ZF3" s="63"/>
      <c r="ZG3" s="63"/>
    </row>
    <row r="4" spans="1:683">
      <c r="A4" s="200"/>
      <c r="B4" s="73"/>
      <c r="C4" s="73"/>
      <c r="D4" s="311" t="s">
        <v>1</v>
      </c>
      <c r="E4" s="311"/>
      <c r="F4" s="311"/>
      <c r="G4" s="63"/>
      <c r="H4" s="63"/>
      <c r="I4" s="199"/>
      <c r="J4" s="311" t="s">
        <v>2</v>
      </c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  <c r="X4" s="311"/>
      <c r="Y4" s="311"/>
      <c r="Z4" s="311"/>
      <c r="AA4" s="311"/>
      <c r="AB4" s="311"/>
      <c r="AC4" s="311"/>
      <c r="AD4" s="311"/>
      <c r="AE4" s="311"/>
      <c r="AF4" s="311"/>
      <c r="AG4" s="311"/>
      <c r="AH4" s="311"/>
      <c r="AI4" s="311"/>
      <c r="AJ4" s="311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  <c r="CK4" s="199"/>
      <c r="CL4" s="199"/>
      <c r="CM4" s="199"/>
      <c r="CN4" s="199"/>
      <c r="CO4" s="199"/>
      <c r="CP4" s="199"/>
      <c r="CQ4" s="199"/>
      <c r="CR4" s="199"/>
      <c r="CS4" s="199"/>
      <c r="CT4" s="199"/>
      <c r="CU4" s="199"/>
      <c r="CV4" s="199"/>
      <c r="CW4" s="199"/>
      <c r="CX4" s="199"/>
      <c r="CY4" s="199"/>
      <c r="CZ4" s="199"/>
      <c r="DA4" s="199"/>
      <c r="DB4" s="199"/>
      <c r="DC4" s="199"/>
      <c r="DD4" s="199"/>
      <c r="DE4" s="199"/>
      <c r="DF4" s="199"/>
      <c r="DG4" s="199"/>
      <c r="DH4" s="199"/>
      <c r="DI4" s="199"/>
      <c r="DJ4" s="199"/>
      <c r="DK4" s="199"/>
      <c r="DL4" s="199"/>
      <c r="DM4" s="199"/>
      <c r="DN4" s="199"/>
      <c r="DO4" s="199"/>
      <c r="DP4" s="199"/>
      <c r="DQ4" s="199"/>
      <c r="DR4" s="199"/>
      <c r="DS4" s="199"/>
      <c r="DT4" s="199"/>
      <c r="DU4" s="199"/>
      <c r="DV4" s="199"/>
      <c r="DW4" s="199"/>
      <c r="DX4" s="199"/>
      <c r="DY4" s="199"/>
      <c r="DZ4" s="199"/>
      <c r="EA4" s="199"/>
      <c r="EB4" s="199"/>
      <c r="EC4" s="199"/>
      <c r="ED4" s="199"/>
      <c r="EE4" s="199"/>
      <c r="EF4" s="199"/>
      <c r="EG4" s="199"/>
      <c r="EH4" s="199"/>
      <c r="EI4" s="199"/>
      <c r="EJ4" s="199"/>
      <c r="EK4" s="199"/>
      <c r="EL4" s="199"/>
      <c r="EM4" s="199"/>
      <c r="EN4" s="199"/>
      <c r="EO4" s="199"/>
      <c r="EP4" s="199"/>
      <c r="EQ4" s="199"/>
      <c r="ER4" s="199"/>
      <c r="ES4" s="199"/>
      <c r="ET4" s="199"/>
      <c r="EU4" s="199"/>
      <c r="EV4" s="199"/>
      <c r="EW4" s="199"/>
      <c r="EX4" s="199"/>
      <c r="EY4" s="199"/>
      <c r="EZ4" s="199"/>
      <c r="FA4" s="199"/>
      <c r="FB4" s="199"/>
      <c r="FC4" s="199"/>
      <c r="FD4" s="199"/>
      <c r="FE4" s="199"/>
      <c r="FF4" s="199"/>
      <c r="FG4" s="199"/>
      <c r="FH4" s="199"/>
      <c r="FI4" s="199"/>
      <c r="FJ4" s="199"/>
      <c r="FK4" s="199"/>
      <c r="FL4" s="199"/>
      <c r="FM4" s="199"/>
      <c r="FN4" s="199"/>
      <c r="FO4" s="199"/>
      <c r="FP4" s="199"/>
      <c r="FQ4" s="199"/>
      <c r="FR4" s="199"/>
      <c r="FS4" s="199"/>
      <c r="FT4" s="199"/>
      <c r="FU4" s="199"/>
      <c r="FV4" s="199"/>
      <c r="FW4" s="199"/>
      <c r="FX4" s="199"/>
      <c r="FY4" s="199"/>
      <c r="FZ4" s="199"/>
      <c r="GA4" s="199"/>
      <c r="GB4" s="199"/>
      <c r="GC4" s="199"/>
      <c r="GD4" s="199"/>
      <c r="GE4" s="199"/>
      <c r="GF4" s="199"/>
      <c r="GG4" s="199"/>
      <c r="GH4" s="199"/>
      <c r="GI4" s="199"/>
      <c r="GJ4" s="199"/>
      <c r="GK4" s="199"/>
      <c r="GL4" s="199"/>
      <c r="GM4" s="199"/>
      <c r="GN4" s="199"/>
      <c r="GO4" s="199"/>
      <c r="GP4" s="199"/>
      <c r="GQ4" s="199"/>
      <c r="GR4" s="199"/>
      <c r="GS4" s="199"/>
      <c r="GT4" s="199"/>
      <c r="GU4" s="199"/>
      <c r="GV4" s="199"/>
      <c r="GW4" s="199"/>
      <c r="GX4" s="199"/>
      <c r="GY4" s="199"/>
      <c r="GZ4" s="199"/>
      <c r="HA4" s="199"/>
      <c r="HB4" s="199"/>
      <c r="HC4" s="199"/>
      <c r="HD4" s="199"/>
      <c r="HE4" s="199"/>
      <c r="HF4" s="199"/>
      <c r="HG4" s="199"/>
      <c r="HH4" s="199"/>
      <c r="HI4" s="199"/>
      <c r="HJ4" s="199"/>
      <c r="HK4" s="199"/>
      <c r="HL4" s="199"/>
      <c r="HM4" s="199"/>
      <c r="HN4" s="199"/>
      <c r="HO4" s="199"/>
      <c r="HP4" s="199"/>
      <c r="HQ4" s="199"/>
      <c r="HR4" s="199"/>
      <c r="HS4" s="199"/>
      <c r="HT4" s="199"/>
      <c r="HU4" s="199"/>
      <c r="HV4" s="199"/>
      <c r="HW4" s="199"/>
      <c r="HX4" s="199"/>
      <c r="HY4" s="199"/>
      <c r="HZ4" s="199"/>
      <c r="IA4" s="199"/>
      <c r="IB4" s="199"/>
      <c r="IC4" s="199"/>
      <c r="ID4" s="199"/>
      <c r="IE4" s="199"/>
      <c r="IF4" s="199"/>
      <c r="IG4" s="199"/>
      <c r="IH4" s="199"/>
      <c r="II4" s="199"/>
      <c r="IJ4" s="199"/>
      <c r="IK4" s="199"/>
      <c r="IL4" s="199"/>
      <c r="IM4" s="199"/>
      <c r="IN4" s="199"/>
      <c r="IO4" s="199"/>
      <c r="IP4" s="199"/>
      <c r="IQ4" s="199"/>
      <c r="IR4" s="199"/>
      <c r="IS4" s="199"/>
      <c r="IT4" s="199"/>
      <c r="IU4" s="199"/>
      <c r="IV4" s="199"/>
      <c r="IW4" s="199"/>
      <c r="IX4" s="199"/>
      <c r="IY4" s="199"/>
      <c r="IZ4" s="199"/>
      <c r="JA4" s="199"/>
      <c r="JB4" s="199"/>
      <c r="JC4" s="199"/>
      <c r="JD4" s="199"/>
      <c r="JE4" s="199"/>
      <c r="JF4" s="199"/>
      <c r="JG4" s="199"/>
      <c r="JH4" s="199"/>
      <c r="JI4" s="199"/>
      <c r="JJ4" s="199"/>
      <c r="JK4" s="199"/>
      <c r="JL4" s="199"/>
      <c r="JM4" s="199"/>
      <c r="JN4" s="199"/>
      <c r="JO4" s="199"/>
      <c r="JP4" s="199"/>
      <c r="JQ4" s="199"/>
      <c r="JR4" s="199"/>
      <c r="JS4" s="199"/>
      <c r="JT4" s="199"/>
      <c r="JU4" s="199"/>
      <c r="JV4" s="199"/>
      <c r="JW4" s="199"/>
      <c r="JX4" s="199"/>
      <c r="JY4" s="199"/>
      <c r="JZ4" s="199"/>
      <c r="KA4" s="199"/>
      <c r="KB4" s="199"/>
      <c r="KC4" s="199"/>
      <c r="KD4" s="199"/>
      <c r="KE4" s="199"/>
      <c r="KF4" s="199"/>
      <c r="KG4" s="199"/>
      <c r="KH4" s="199"/>
      <c r="KI4" s="199"/>
      <c r="KJ4" s="199"/>
      <c r="KK4" s="199"/>
      <c r="KL4" s="199"/>
      <c r="KM4" s="199"/>
      <c r="KN4" s="199"/>
      <c r="KO4" s="199"/>
      <c r="KP4" s="199"/>
      <c r="KQ4" s="199"/>
      <c r="KR4" s="199"/>
      <c r="KS4" s="199"/>
      <c r="KT4" s="199"/>
      <c r="KU4" s="199"/>
      <c r="KV4" s="199"/>
      <c r="KW4" s="199"/>
      <c r="KX4" s="199"/>
      <c r="KY4" s="199"/>
      <c r="KZ4" s="199"/>
      <c r="LA4" s="199"/>
      <c r="LB4" s="199"/>
      <c r="LC4" s="199"/>
      <c r="LD4" s="199"/>
      <c r="LE4" s="199"/>
      <c r="LF4" s="199"/>
      <c r="LG4" s="199"/>
      <c r="LH4" s="199"/>
      <c r="LI4" s="199"/>
      <c r="LJ4" s="199"/>
      <c r="LK4" s="199"/>
      <c r="LL4" s="199"/>
      <c r="LM4" s="199"/>
      <c r="LN4" s="199"/>
      <c r="LO4" s="199"/>
      <c r="LP4" s="199"/>
      <c r="LQ4" s="199"/>
      <c r="LR4" s="199"/>
      <c r="LS4" s="199"/>
      <c r="LT4" s="199"/>
      <c r="LU4" s="199"/>
      <c r="LV4" s="199"/>
      <c r="LW4" s="199"/>
      <c r="LX4" s="199"/>
      <c r="LY4" s="199"/>
      <c r="LZ4" s="199"/>
      <c r="MA4" s="199"/>
      <c r="MB4" s="199"/>
      <c r="MC4" s="199"/>
      <c r="MD4" s="199"/>
      <c r="ME4" s="199"/>
      <c r="MF4" s="199"/>
      <c r="MG4" s="199"/>
      <c r="MH4" s="199"/>
      <c r="MI4" s="199"/>
      <c r="MJ4" s="199"/>
      <c r="MK4" s="199"/>
      <c r="ML4" s="199"/>
      <c r="MM4" s="199"/>
      <c r="MN4" s="199"/>
      <c r="MO4" s="199"/>
      <c r="MP4" s="199"/>
      <c r="MQ4" s="199"/>
      <c r="MR4" s="199"/>
      <c r="MS4" s="199"/>
      <c r="MT4" s="199"/>
      <c r="MU4" s="199"/>
      <c r="MV4" s="199"/>
      <c r="MW4" s="199"/>
      <c r="MX4" s="199"/>
      <c r="MY4" s="199"/>
      <c r="MZ4" s="199"/>
      <c r="NA4" s="199"/>
      <c r="NB4" s="199"/>
      <c r="NC4" s="199"/>
      <c r="ND4" s="199"/>
      <c r="NE4" s="199"/>
      <c r="NF4" s="199"/>
      <c r="NG4" s="199"/>
      <c r="NH4" s="199"/>
      <c r="NI4" s="199"/>
      <c r="NJ4" s="199"/>
      <c r="NK4" s="199"/>
      <c r="NL4" s="199"/>
      <c r="NM4" s="199"/>
      <c r="NN4" s="199"/>
      <c r="NO4" s="199"/>
      <c r="NP4" s="199"/>
      <c r="NQ4" s="199"/>
      <c r="NR4" s="199"/>
      <c r="NS4" s="199"/>
      <c r="NT4" s="199"/>
      <c r="NU4" s="199"/>
      <c r="NV4" s="199"/>
      <c r="NW4" s="199"/>
      <c r="NX4" s="199"/>
      <c r="NY4" s="199"/>
      <c r="NZ4" s="199"/>
      <c r="OA4" s="199"/>
      <c r="OB4" s="199"/>
      <c r="OC4" s="199"/>
      <c r="OD4" s="199"/>
      <c r="OE4" s="199"/>
      <c r="OF4" s="199"/>
      <c r="OG4" s="199"/>
      <c r="OH4" s="199"/>
      <c r="OI4" s="199"/>
      <c r="OJ4" s="199"/>
      <c r="OK4" s="199"/>
      <c r="OL4" s="199"/>
      <c r="OM4" s="199"/>
      <c r="ON4" s="199"/>
      <c r="OO4" s="199"/>
      <c r="OP4" s="199"/>
      <c r="OQ4" s="199"/>
      <c r="OR4" s="199"/>
      <c r="OS4" s="199"/>
      <c r="OT4" s="199"/>
      <c r="OU4" s="199"/>
      <c r="OV4" s="199"/>
      <c r="OW4" s="199"/>
      <c r="OX4" s="199"/>
      <c r="OY4" s="199"/>
      <c r="OZ4" s="199"/>
      <c r="PA4" s="199"/>
      <c r="PB4" s="199"/>
      <c r="PC4" s="199"/>
      <c r="PD4" s="199"/>
      <c r="PE4" s="199"/>
      <c r="PF4" s="199"/>
      <c r="PG4" s="199"/>
      <c r="PH4" s="199"/>
      <c r="PI4" s="199"/>
      <c r="PJ4" s="199"/>
      <c r="PK4" s="199"/>
      <c r="PL4" s="199"/>
      <c r="PM4" s="199"/>
      <c r="PN4" s="199"/>
      <c r="PO4" s="199"/>
      <c r="PP4" s="199"/>
      <c r="PQ4" s="199"/>
      <c r="PR4" s="199"/>
      <c r="PS4" s="199"/>
      <c r="PT4" s="199"/>
      <c r="PU4" s="199"/>
      <c r="PV4" s="199"/>
      <c r="PW4" s="199"/>
      <c r="PX4" s="199"/>
      <c r="PY4" s="199"/>
      <c r="PZ4" s="199"/>
      <c r="QA4" s="199"/>
      <c r="QB4" s="199"/>
      <c r="QC4" s="199"/>
      <c r="QD4" s="199"/>
      <c r="QE4" s="199"/>
      <c r="QF4" s="199"/>
      <c r="QG4" s="199"/>
      <c r="QH4" s="199"/>
      <c r="QI4" s="199"/>
      <c r="QJ4" s="199"/>
      <c r="QK4" s="199"/>
      <c r="QL4" s="199"/>
      <c r="QM4" s="199"/>
      <c r="QN4" s="199"/>
      <c r="QO4" s="199"/>
      <c r="QP4" s="199"/>
      <c r="QQ4" s="199"/>
      <c r="QR4" s="199"/>
      <c r="QS4" s="199"/>
      <c r="QT4" s="199"/>
      <c r="QU4" s="199"/>
      <c r="QV4" s="199"/>
      <c r="QW4" s="199"/>
      <c r="QX4" s="199"/>
      <c r="QY4" s="199"/>
      <c r="QZ4" s="199"/>
      <c r="RA4" s="199"/>
      <c r="RB4" s="199"/>
      <c r="RC4" s="199"/>
      <c r="RD4" s="199"/>
      <c r="RE4" s="199"/>
      <c r="RF4" s="199"/>
      <c r="RG4" s="199"/>
      <c r="RH4" s="199"/>
      <c r="RI4" s="199"/>
      <c r="RJ4" s="199"/>
      <c r="RK4" s="199"/>
      <c r="RL4" s="199"/>
      <c r="RM4" s="199"/>
      <c r="RN4" s="199"/>
      <c r="RO4" s="199"/>
      <c r="RP4" s="199"/>
      <c r="RQ4" s="199"/>
      <c r="RR4" s="199"/>
      <c r="RS4" s="199"/>
      <c r="RT4" s="199"/>
      <c r="RU4" s="199"/>
      <c r="RV4" s="199"/>
      <c r="RW4" s="199"/>
      <c r="RX4" s="199"/>
      <c r="RY4" s="199"/>
      <c r="RZ4" s="199"/>
      <c r="SA4" s="199"/>
      <c r="SB4" s="199"/>
      <c r="SC4" s="199"/>
      <c r="SD4" s="199"/>
      <c r="SE4" s="199"/>
      <c r="SF4" s="199"/>
      <c r="SG4" s="199"/>
      <c r="SH4" s="199"/>
      <c r="SI4" s="199"/>
      <c r="SJ4" s="199"/>
      <c r="SK4" s="199"/>
      <c r="SL4" s="199"/>
      <c r="SM4" s="199"/>
      <c r="SN4" s="199"/>
      <c r="SO4" s="199"/>
      <c r="SP4" s="199"/>
      <c r="SQ4" s="199"/>
      <c r="SR4" s="199"/>
      <c r="SS4" s="199"/>
      <c r="ST4" s="199"/>
      <c r="SU4" s="199"/>
      <c r="SV4" s="199"/>
      <c r="SW4" s="199"/>
      <c r="SX4" s="199"/>
      <c r="SY4" s="199"/>
      <c r="SZ4" s="199"/>
      <c r="TA4" s="199"/>
      <c r="TB4" s="199"/>
      <c r="TC4" s="199"/>
      <c r="TD4" s="199"/>
      <c r="TE4" s="199"/>
      <c r="TF4" s="199"/>
      <c r="TG4" s="199"/>
      <c r="TH4" s="199"/>
      <c r="TI4" s="199"/>
      <c r="TJ4" s="199"/>
      <c r="TK4" s="199"/>
      <c r="TL4" s="199"/>
      <c r="TM4" s="199"/>
      <c r="TN4" s="199"/>
      <c r="TO4" s="199"/>
      <c r="TP4" s="199"/>
      <c r="TQ4" s="199"/>
      <c r="TR4" s="199"/>
      <c r="TS4" s="199"/>
      <c r="TT4" s="199"/>
      <c r="TU4" s="199"/>
      <c r="TV4" s="199"/>
      <c r="TW4" s="199"/>
      <c r="TX4" s="199"/>
      <c r="TY4" s="199"/>
      <c r="TZ4" s="199"/>
      <c r="UA4" s="199"/>
      <c r="UB4" s="199"/>
      <c r="UC4" s="199"/>
      <c r="UD4" s="199"/>
      <c r="UE4" s="199"/>
      <c r="UF4" s="199"/>
      <c r="UG4" s="199"/>
      <c r="UH4" s="199"/>
      <c r="UI4" s="199"/>
      <c r="UJ4" s="199"/>
      <c r="UK4" s="199"/>
      <c r="UL4" s="199"/>
      <c r="UM4" s="199"/>
      <c r="UN4" s="199"/>
      <c r="UO4" s="199"/>
      <c r="UP4" s="199"/>
      <c r="UQ4" s="199"/>
      <c r="UR4" s="199"/>
      <c r="US4" s="199"/>
      <c r="UT4" s="199"/>
      <c r="UU4" s="199"/>
      <c r="UV4" s="199"/>
      <c r="UW4" s="199"/>
      <c r="UX4" s="199"/>
      <c r="UY4" s="199"/>
      <c r="UZ4" s="199"/>
      <c r="VA4" s="199"/>
      <c r="VB4" s="199"/>
      <c r="VC4" s="199"/>
      <c r="VD4" s="199"/>
      <c r="VE4" s="199"/>
      <c r="VF4" s="199"/>
      <c r="VG4" s="199"/>
      <c r="VH4" s="199"/>
      <c r="VI4" s="199"/>
      <c r="VJ4" s="199"/>
      <c r="VK4" s="199"/>
      <c r="VL4" s="199"/>
      <c r="VM4" s="199"/>
      <c r="VN4" s="199"/>
      <c r="VO4" s="199"/>
      <c r="VP4" s="199"/>
      <c r="VQ4" s="199"/>
      <c r="VR4" s="199"/>
      <c r="VS4" s="199"/>
      <c r="VT4" s="199"/>
      <c r="VU4" s="199"/>
      <c r="VV4" s="199"/>
      <c r="VW4" s="199"/>
      <c r="VX4" s="199"/>
      <c r="VY4" s="199"/>
      <c r="VZ4" s="199"/>
      <c r="WA4" s="199"/>
      <c r="WB4" s="199"/>
      <c r="WC4" s="199"/>
      <c r="WD4" s="199"/>
      <c r="WE4" s="199"/>
      <c r="WF4" s="199"/>
      <c r="WG4" s="199"/>
      <c r="WH4" s="199"/>
      <c r="WI4" s="199"/>
      <c r="WJ4" s="199"/>
      <c r="WK4" s="199"/>
      <c r="WL4" s="199"/>
      <c r="WM4" s="199"/>
      <c r="WN4" s="199"/>
      <c r="WO4" s="199"/>
      <c r="WP4" s="199"/>
      <c r="WQ4" s="199"/>
      <c r="WR4" s="199"/>
      <c r="WS4" s="199"/>
      <c r="WT4" s="199"/>
      <c r="WU4" s="199"/>
      <c r="WV4" s="199"/>
      <c r="WW4" s="199"/>
      <c r="WX4" s="199"/>
      <c r="WY4" s="199"/>
      <c r="WZ4" s="199"/>
      <c r="XA4" s="199"/>
      <c r="XB4" s="199"/>
      <c r="XC4" s="199"/>
      <c r="XD4" s="199"/>
      <c r="XE4" s="199"/>
      <c r="XF4" s="199"/>
      <c r="XG4" s="199"/>
      <c r="XH4" s="199"/>
      <c r="XI4" s="199"/>
      <c r="XJ4" s="199"/>
      <c r="XK4" s="199"/>
      <c r="XL4" s="199"/>
      <c r="XM4" s="199"/>
      <c r="XN4" s="199"/>
      <c r="XO4" s="199"/>
      <c r="XP4" s="199"/>
      <c r="XQ4" s="199"/>
      <c r="XR4" s="199"/>
      <c r="XS4" s="199"/>
      <c r="XT4" s="199"/>
      <c r="XU4" s="199"/>
      <c r="XV4" s="199"/>
      <c r="XW4" s="199"/>
      <c r="XX4" s="199"/>
      <c r="XY4" s="199"/>
      <c r="XZ4" s="199"/>
      <c r="YA4" s="199"/>
      <c r="YB4" s="199"/>
      <c r="YC4" s="199"/>
      <c r="YD4" s="199"/>
      <c r="YE4" s="199"/>
      <c r="YF4" s="199"/>
      <c r="YG4" s="199"/>
      <c r="YH4" s="199"/>
      <c r="YI4" s="199"/>
      <c r="YJ4" s="199"/>
      <c r="YK4" s="199"/>
      <c r="YL4" s="199"/>
      <c r="YM4" s="199"/>
      <c r="YN4" s="199"/>
      <c r="YO4" s="199"/>
      <c r="YP4" s="199"/>
      <c r="YQ4" s="199"/>
      <c r="YR4" s="199"/>
      <c r="YS4" s="199"/>
      <c r="YT4" s="199"/>
      <c r="YU4" s="199"/>
      <c r="YV4" s="199"/>
      <c r="YW4" s="199"/>
      <c r="YX4" s="199"/>
      <c r="YY4" s="199"/>
      <c r="YZ4" s="199"/>
      <c r="ZA4" s="199"/>
      <c r="ZB4" s="199"/>
      <c r="ZC4" s="199"/>
      <c r="ZD4" s="199"/>
      <c r="ZE4" s="199"/>
      <c r="ZF4" s="199"/>
      <c r="ZG4" s="199"/>
    </row>
    <row r="5" spans="1:683">
      <c r="A5" s="73"/>
      <c r="B5" s="73"/>
      <c r="C5" s="73"/>
      <c r="D5" s="73"/>
      <c r="E5" s="73"/>
      <c r="F5" s="73"/>
      <c r="G5" s="63"/>
      <c r="H5" s="63"/>
      <c r="I5" s="201"/>
      <c r="J5" s="312" t="s">
        <v>3</v>
      </c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201"/>
      <c r="BD5" s="201"/>
      <c r="BE5" s="201"/>
      <c r="BF5" s="201"/>
      <c r="BG5" s="201"/>
      <c r="BH5" s="201"/>
      <c r="BI5" s="201"/>
      <c r="BJ5" s="201"/>
      <c r="BK5" s="201"/>
      <c r="BL5" s="201"/>
      <c r="BM5" s="201"/>
      <c r="BN5" s="201"/>
      <c r="BO5" s="201"/>
      <c r="BP5" s="201"/>
      <c r="BQ5" s="201"/>
      <c r="BR5" s="201"/>
      <c r="BS5" s="201"/>
      <c r="BT5" s="201"/>
      <c r="BU5" s="201"/>
      <c r="BV5" s="201"/>
      <c r="BW5" s="201"/>
      <c r="BX5" s="201"/>
      <c r="BY5" s="201"/>
      <c r="BZ5" s="201"/>
      <c r="CA5" s="201"/>
      <c r="CB5" s="201"/>
      <c r="CC5" s="201"/>
      <c r="CD5" s="201"/>
      <c r="CE5" s="201"/>
      <c r="CF5" s="201"/>
      <c r="CG5" s="201"/>
      <c r="CH5" s="201"/>
      <c r="CI5" s="201"/>
      <c r="CJ5" s="201"/>
      <c r="CK5" s="201"/>
      <c r="CL5" s="201"/>
      <c r="CM5" s="201"/>
      <c r="CN5" s="201"/>
      <c r="CO5" s="201"/>
      <c r="CP5" s="201"/>
      <c r="CQ5" s="201"/>
      <c r="CR5" s="201"/>
      <c r="CS5" s="201"/>
      <c r="CT5" s="201"/>
      <c r="CU5" s="201"/>
      <c r="CV5" s="201"/>
      <c r="CW5" s="201"/>
      <c r="CX5" s="201"/>
      <c r="CY5" s="201"/>
      <c r="CZ5" s="201"/>
      <c r="DA5" s="201"/>
      <c r="DB5" s="201"/>
      <c r="DC5" s="201"/>
      <c r="DD5" s="201"/>
      <c r="DE5" s="201"/>
      <c r="DF5" s="201"/>
      <c r="DG5" s="201"/>
      <c r="DH5" s="201"/>
      <c r="DI5" s="201"/>
      <c r="DJ5" s="201"/>
      <c r="DK5" s="201"/>
      <c r="DL5" s="201"/>
      <c r="DM5" s="201"/>
      <c r="DN5" s="201"/>
      <c r="DO5" s="201"/>
      <c r="DP5" s="201"/>
      <c r="DQ5" s="201"/>
      <c r="DR5" s="201"/>
      <c r="DS5" s="201"/>
      <c r="DT5" s="201"/>
      <c r="DU5" s="201"/>
      <c r="DV5" s="201"/>
      <c r="DW5" s="201"/>
      <c r="DX5" s="201"/>
      <c r="DY5" s="201"/>
      <c r="DZ5" s="201"/>
      <c r="EA5" s="201"/>
      <c r="EB5" s="201"/>
      <c r="EC5" s="201"/>
      <c r="ED5" s="201"/>
      <c r="EE5" s="201"/>
      <c r="EF5" s="201"/>
      <c r="EG5" s="201"/>
      <c r="EH5" s="201"/>
      <c r="EI5" s="201"/>
      <c r="EJ5" s="201"/>
      <c r="EK5" s="201"/>
      <c r="EL5" s="201"/>
      <c r="EM5" s="201"/>
      <c r="EN5" s="201"/>
      <c r="EO5" s="201"/>
      <c r="EP5" s="201"/>
      <c r="EQ5" s="201"/>
      <c r="ER5" s="201"/>
      <c r="ES5" s="201"/>
      <c r="ET5" s="201"/>
      <c r="EU5" s="201"/>
      <c r="EV5" s="201"/>
      <c r="EW5" s="201"/>
      <c r="EX5" s="201"/>
      <c r="EY5" s="201"/>
      <c r="EZ5" s="201"/>
      <c r="FA5" s="201"/>
      <c r="FB5" s="201"/>
      <c r="FC5" s="201"/>
      <c r="FD5" s="201"/>
      <c r="FE5" s="201"/>
      <c r="FF5" s="201"/>
      <c r="FG5" s="201"/>
      <c r="FH5" s="201"/>
      <c r="FI5" s="201"/>
      <c r="FJ5" s="201"/>
      <c r="FK5" s="201"/>
      <c r="FL5" s="201"/>
      <c r="FM5" s="201"/>
      <c r="FN5" s="201"/>
      <c r="FO5" s="201"/>
      <c r="FP5" s="201"/>
      <c r="FQ5" s="201"/>
      <c r="FR5" s="201"/>
      <c r="FS5" s="201"/>
      <c r="FT5" s="201"/>
      <c r="FU5" s="201"/>
      <c r="FV5" s="201"/>
      <c r="FW5" s="201"/>
      <c r="FX5" s="201"/>
      <c r="FY5" s="201"/>
      <c r="FZ5" s="201"/>
      <c r="GA5" s="201"/>
      <c r="GB5" s="201"/>
      <c r="GC5" s="201"/>
      <c r="GD5" s="201"/>
      <c r="GE5" s="201"/>
      <c r="GF5" s="201"/>
      <c r="GG5" s="201"/>
      <c r="GH5" s="201"/>
      <c r="GI5" s="201"/>
      <c r="GJ5" s="201"/>
      <c r="GK5" s="201"/>
      <c r="GL5" s="201"/>
      <c r="GM5" s="201"/>
      <c r="GN5" s="201"/>
      <c r="GO5" s="201"/>
      <c r="GP5" s="201"/>
      <c r="GQ5" s="201"/>
      <c r="GR5" s="201"/>
      <c r="GS5" s="201"/>
      <c r="GT5" s="201"/>
      <c r="GU5" s="201"/>
      <c r="GV5" s="201"/>
      <c r="GW5" s="201"/>
      <c r="GX5" s="201"/>
      <c r="GY5" s="201"/>
      <c r="GZ5" s="201"/>
      <c r="HA5" s="201"/>
      <c r="HB5" s="201"/>
      <c r="HC5" s="201"/>
      <c r="HD5" s="201"/>
      <c r="HE5" s="201"/>
      <c r="HF5" s="201"/>
      <c r="HG5" s="201"/>
      <c r="HH5" s="201"/>
      <c r="HI5" s="201"/>
      <c r="HJ5" s="201"/>
      <c r="HK5" s="201"/>
      <c r="HL5" s="201"/>
      <c r="HM5" s="201"/>
      <c r="HN5" s="201"/>
      <c r="HO5" s="201"/>
      <c r="HP5" s="201"/>
      <c r="HQ5" s="201"/>
      <c r="HR5" s="201"/>
      <c r="HS5" s="201"/>
      <c r="HT5" s="201"/>
      <c r="HU5" s="201"/>
      <c r="HV5" s="201"/>
      <c r="HW5" s="201"/>
      <c r="HX5" s="201"/>
      <c r="HY5" s="201"/>
      <c r="HZ5" s="201"/>
      <c r="IA5" s="201"/>
      <c r="IB5" s="201"/>
      <c r="IC5" s="201"/>
      <c r="ID5" s="201"/>
      <c r="IE5" s="201"/>
      <c r="IF5" s="201"/>
      <c r="IG5" s="201"/>
      <c r="IH5" s="201"/>
      <c r="II5" s="201"/>
      <c r="IJ5" s="201"/>
      <c r="IK5" s="201"/>
      <c r="IL5" s="201"/>
      <c r="IM5" s="201"/>
      <c r="IN5" s="201"/>
      <c r="IO5" s="201"/>
      <c r="IP5" s="201"/>
      <c r="IQ5" s="201"/>
      <c r="IR5" s="201"/>
      <c r="IS5" s="201"/>
      <c r="IT5" s="201"/>
      <c r="IU5" s="201"/>
      <c r="IV5" s="201"/>
      <c r="IW5" s="201"/>
      <c r="IX5" s="201"/>
      <c r="IY5" s="201"/>
      <c r="IZ5" s="201"/>
      <c r="JA5" s="201"/>
      <c r="JB5" s="201"/>
      <c r="JC5" s="201"/>
      <c r="JD5" s="201"/>
      <c r="JE5" s="201"/>
      <c r="JF5" s="201"/>
      <c r="JG5" s="201"/>
      <c r="JH5" s="201"/>
      <c r="JI5" s="201"/>
      <c r="JJ5" s="201"/>
      <c r="JK5" s="201"/>
      <c r="JL5" s="201"/>
      <c r="JM5" s="201"/>
      <c r="JN5" s="201"/>
      <c r="JO5" s="201"/>
      <c r="JP5" s="201"/>
      <c r="JQ5" s="201"/>
      <c r="JR5" s="201"/>
      <c r="JS5" s="201"/>
      <c r="JT5" s="201"/>
      <c r="JU5" s="201"/>
      <c r="JV5" s="201"/>
      <c r="JW5" s="201"/>
      <c r="JX5" s="201"/>
      <c r="JY5" s="201"/>
      <c r="JZ5" s="201"/>
      <c r="KA5" s="201"/>
      <c r="KB5" s="201"/>
      <c r="KC5" s="201"/>
      <c r="KD5" s="201"/>
      <c r="KE5" s="201"/>
      <c r="KF5" s="201"/>
      <c r="KG5" s="201"/>
      <c r="KH5" s="201"/>
      <c r="KI5" s="201"/>
      <c r="KJ5" s="201"/>
      <c r="KK5" s="201"/>
      <c r="KL5" s="201"/>
      <c r="KM5" s="201"/>
      <c r="KN5" s="201"/>
      <c r="KO5" s="201"/>
      <c r="KP5" s="201"/>
      <c r="KQ5" s="201"/>
      <c r="KR5" s="201"/>
      <c r="KS5" s="201"/>
      <c r="KT5" s="201"/>
      <c r="KU5" s="201"/>
      <c r="KV5" s="201"/>
      <c r="KW5" s="201"/>
      <c r="KX5" s="201"/>
      <c r="KY5" s="201"/>
      <c r="KZ5" s="201"/>
      <c r="LA5" s="201"/>
      <c r="LB5" s="201"/>
      <c r="LC5" s="201"/>
      <c r="LD5" s="201"/>
      <c r="LE5" s="201"/>
      <c r="LF5" s="201"/>
      <c r="LG5" s="201"/>
      <c r="LH5" s="201"/>
      <c r="LI5" s="201"/>
      <c r="LJ5" s="201"/>
      <c r="LK5" s="201"/>
      <c r="LL5" s="201"/>
      <c r="LM5" s="201"/>
      <c r="LN5" s="201"/>
      <c r="LO5" s="201"/>
      <c r="LP5" s="201"/>
      <c r="LQ5" s="201"/>
      <c r="LR5" s="201"/>
      <c r="LS5" s="201"/>
      <c r="LT5" s="201"/>
      <c r="LU5" s="201"/>
      <c r="LV5" s="201"/>
      <c r="LW5" s="201"/>
      <c r="LX5" s="201"/>
      <c r="LY5" s="201"/>
      <c r="LZ5" s="201"/>
      <c r="MA5" s="201"/>
      <c r="MB5" s="201"/>
      <c r="MC5" s="201"/>
      <c r="MD5" s="201"/>
      <c r="ME5" s="201"/>
      <c r="MF5" s="201"/>
      <c r="MG5" s="201"/>
      <c r="MH5" s="201"/>
      <c r="MI5" s="201"/>
      <c r="MJ5" s="201"/>
      <c r="MK5" s="201"/>
      <c r="ML5" s="201"/>
      <c r="MM5" s="201"/>
      <c r="MN5" s="201"/>
      <c r="MO5" s="201"/>
      <c r="MP5" s="201"/>
      <c r="MQ5" s="201"/>
      <c r="MR5" s="201"/>
      <c r="MS5" s="201"/>
      <c r="MT5" s="201"/>
      <c r="MU5" s="201"/>
      <c r="MV5" s="201"/>
      <c r="MW5" s="201"/>
      <c r="MX5" s="201"/>
      <c r="MY5" s="201"/>
      <c r="MZ5" s="201"/>
      <c r="NA5" s="201"/>
      <c r="NB5" s="201"/>
      <c r="NC5" s="201"/>
      <c r="ND5" s="201"/>
      <c r="NE5" s="201"/>
      <c r="NF5" s="201"/>
      <c r="NG5" s="201"/>
      <c r="NH5" s="201"/>
      <c r="NI5" s="201"/>
      <c r="NJ5" s="201"/>
      <c r="NK5" s="201"/>
      <c r="NL5" s="201"/>
      <c r="NM5" s="201"/>
      <c r="NN5" s="201"/>
      <c r="NO5" s="201"/>
      <c r="NP5" s="201"/>
      <c r="NQ5" s="201"/>
      <c r="NR5" s="201"/>
      <c r="NS5" s="201"/>
      <c r="NT5" s="201"/>
      <c r="NU5" s="201"/>
      <c r="NV5" s="201"/>
      <c r="NW5" s="201"/>
      <c r="NX5" s="201"/>
      <c r="NY5" s="201"/>
      <c r="NZ5" s="201"/>
      <c r="OA5" s="201"/>
      <c r="OB5" s="201"/>
      <c r="OC5" s="201"/>
      <c r="OD5" s="201"/>
      <c r="OE5" s="201"/>
      <c r="OF5" s="201"/>
      <c r="OG5" s="201"/>
      <c r="OH5" s="201"/>
      <c r="OI5" s="201"/>
      <c r="OJ5" s="201"/>
      <c r="OK5" s="201"/>
      <c r="OL5" s="201"/>
      <c r="OM5" s="201"/>
      <c r="ON5" s="201"/>
      <c r="OO5" s="201"/>
      <c r="OP5" s="201"/>
      <c r="OQ5" s="201"/>
      <c r="OR5" s="201"/>
      <c r="OS5" s="201"/>
      <c r="OT5" s="201"/>
      <c r="OU5" s="201"/>
      <c r="OV5" s="201"/>
      <c r="OW5" s="201"/>
      <c r="OX5" s="201"/>
      <c r="OY5" s="201"/>
      <c r="OZ5" s="201"/>
      <c r="PA5" s="201"/>
      <c r="PB5" s="201"/>
      <c r="PC5" s="201"/>
      <c r="PD5" s="201"/>
      <c r="PE5" s="201"/>
      <c r="PF5" s="201"/>
      <c r="PG5" s="201"/>
      <c r="PH5" s="201"/>
      <c r="PI5" s="201"/>
      <c r="PJ5" s="201"/>
      <c r="PK5" s="201"/>
      <c r="PL5" s="201"/>
      <c r="PM5" s="201"/>
      <c r="PN5" s="201"/>
      <c r="PO5" s="201"/>
      <c r="PP5" s="201"/>
      <c r="PQ5" s="201"/>
      <c r="PR5" s="201"/>
      <c r="PS5" s="201"/>
      <c r="PT5" s="201"/>
      <c r="PU5" s="201"/>
      <c r="PV5" s="201"/>
      <c r="PW5" s="201"/>
      <c r="PX5" s="201"/>
      <c r="PY5" s="201"/>
      <c r="PZ5" s="201"/>
      <c r="QA5" s="201"/>
      <c r="QB5" s="201"/>
      <c r="QC5" s="201"/>
      <c r="QD5" s="201"/>
      <c r="QE5" s="201"/>
      <c r="QF5" s="201"/>
      <c r="QG5" s="201"/>
      <c r="QH5" s="201"/>
      <c r="QI5" s="201"/>
      <c r="QJ5" s="201"/>
      <c r="QK5" s="201"/>
      <c r="QL5" s="201"/>
      <c r="QM5" s="201"/>
      <c r="QN5" s="201"/>
      <c r="QO5" s="201"/>
      <c r="QP5" s="201"/>
      <c r="QQ5" s="201"/>
      <c r="QR5" s="201"/>
      <c r="QS5" s="201"/>
      <c r="QT5" s="201"/>
      <c r="QU5" s="201"/>
      <c r="QV5" s="201"/>
      <c r="QW5" s="201"/>
      <c r="QX5" s="201"/>
      <c r="QY5" s="201"/>
      <c r="QZ5" s="201"/>
      <c r="RA5" s="201"/>
      <c r="RB5" s="201"/>
      <c r="RC5" s="201"/>
      <c r="RD5" s="201"/>
      <c r="RE5" s="201"/>
      <c r="RF5" s="201"/>
      <c r="RG5" s="201"/>
      <c r="RH5" s="201"/>
      <c r="RI5" s="201"/>
      <c r="RJ5" s="201"/>
      <c r="RK5" s="201"/>
      <c r="RL5" s="201"/>
      <c r="RM5" s="201"/>
      <c r="RN5" s="201"/>
      <c r="RO5" s="201"/>
      <c r="RP5" s="201"/>
      <c r="RQ5" s="201"/>
      <c r="RR5" s="201"/>
      <c r="RS5" s="201"/>
      <c r="RT5" s="201"/>
      <c r="RU5" s="201"/>
      <c r="RV5" s="201"/>
      <c r="RW5" s="201"/>
      <c r="RX5" s="201"/>
      <c r="RY5" s="201"/>
      <c r="RZ5" s="201"/>
      <c r="SA5" s="201"/>
      <c r="SB5" s="201"/>
      <c r="SC5" s="201"/>
      <c r="SD5" s="201"/>
      <c r="SE5" s="201"/>
      <c r="SF5" s="201"/>
      <c r="SG5" s="201"/>
      <c r="SH5" s="201"/>
      <c r="SI5" s="201"/>
      <c r="SJ5" s="201"/>
      <c r="SK5" s="201"/>
      <c r="SL5" s="201"/>
      <c r="SM5" s="201"/>
      <c r="SN5" s="201"/>
      <c r="SO5" s="201"/>
      <c r="SP5" s="201"/>
      <c r="SQ5" s="201"/>
      <c r="SR5" s="201"/>
      <c r="SS5" s="201"/>
      <c r="ST5" s="201"/>
      <c r="SU5" s="201"/>
      <c r="SV5" s="201"/>
      <c r="SW5" s="201"/>
      <c r="SX5" s="201"/>
      <c r="SY5" s="201"/>
      <c r="SZ5" s="201"/>
      <c r="TA5" s="201"/>
      <c r="TB5" s="201"/>
      <c r="TC5" s="201"/>
      <c r="TD5" s="201"/>
      <c r="TE5" s="201"/>
      <c r="TF5" s="201"/>
      <c r="TG5" s="201"/>
      <c r="TH5" s="201"/>
      <c r="TI5" s="201"/>
      <c r="TJ5" s="201"/>
      <c r="TK5" s="201"/>
      <c r="TL5" s="201"/>
      <c r="TM5" s="201"/>
      <c r="TN5" s="201"/>
      <c r="TO5" s="201"/>
      <c r="TP5" s="201"/>
      <c r="TQ5" s="201"/>
      <c r="TR5" s="201"/>
      <c r="TS5" s="201"/>
      <c r="TT5" s="201"/>
      <c r="TU5" s="201"/>
      <c r="TV5" s="201"/>
      <c r="TW5" s="201"/>
      <c r="TX5" s="201"/>
      <c r="TY5" s="201"/>
      <c r="TZ5" s="201"/>
      <c r="UA5" s="201"/>
      <c r="UB5" s="201"/>
      <c r="UC5" s="201"/>
      <c r="UD5" s="201"/>
      <c r="UE5" s="201"/>
      <c r="UF5" s="201"/>
      <c r="UG5" s="201"/>
      <c r="UH5" s="201"/>
      <c r="UI5" s="201"/>
      <c r="UJ5" s="201"/>
      <c r="UK5" s="201"/>
      <c r="UL5" s="201"/>
      <c r="UM5" s="201"/>
      <c r="UN5" s="201"/>
      <c r="UO5" s="201"/>
      <c r="UP5" s="201"/>
      <c r="UQ5" s="201"/>
      <c r="UR5" s="201"/>
      <c r="US5" s="201"/>
      <c r="UT5" s="201"/>
      <c r="UU5" s="201"/>
      <c r="UV5" s="201"/>
      <c r="UW5" s="201"/>
      <c r="UX5" s="201"/>
      <c r="UY5" s="201"/>
      <c r="UZ5" s="201"/>
      <c r="VA5" s="201"/>
      <c r="VB5" s="201"/>
      <c r="VC5" s="201"/>
      <c r="VD5" s="201"/>
      <c r="VE5" s="201"/>
      <c r="VF5" s="201"/>
      <c r="VG5" s="201"/>
      <c r="VH5" s="201"/>
      <c r="VI5" s="201"/>
      <c r="VJ5" s="201"/>
      <c r="VK5" s="201"/>
      <c r="VL5" s="201"/>
      <c r="VM5" s="201"/>
      <c r="VN5" s="201"/>
      <c r="VO5" s="201"/>
      <c r="VP5" s="201"/>
      <c r="VQ5" s="201"/>
      <c r="VR5" s="201"/>
      <c r="VS5" s="201"/>
      <c r="VT5" s="201"/>
      <c r="VU5" s="201"/>
      <c r="VV5" s="201"/>
      <c r="VW5" s="201"/>
      <c r="VX5" s="201"/>
      <c r="VY5" s="201"/>
      <c r="VZ5" s="201"/>
      <c r="WA5" s="201"/>
      <c r="WB5" s="201"/>
      <c r="WC5" s="201"/>
      <c r="WD5" s="201"/>
      <c r="WE5" s="201"/>
      <c r="WF5" s="201"/>
      <c r="WG5" s="201"/>
      <c r="WH5" s="201"/>
      <c r="WI5" s="201"/>
      <c r="WJ5" s="201"/>
      <c r="WK5" s="201"/>
      <c r="WL5" s="201"/>
      <c r="WM5" s="201"/>
      <c r="WN5" s="201"/>
      <c r="WO5" s="201"/>
      <c r="WP5" s="201"/>
      <c r="WQ5" s="201"/>
      <c r="WR5" s="201"/>
      <c r="WS5" s="201"/>
      <c r="WT5" s="201"/>
      <c r="WU5" s="201"/>
      <c r="WV5" s="201"/>
      <c r="WW5" s="201"/>
      <c r="WX5" s="201"/>
      <c r="WY5" s="201"/>
      <c r="WZ5" s="201"/>
      <c r="XA5" s="201"/>
      <c r="XB5" s="201"/>
      <c r="XC5" s="201"/>
      <c r="XD5" s="201"/>
      <c r="XE5" s="201"/>
      <c r="XF5" s="201"/>
      <c r="XG5" s="201"/>
      <c r="XH5" s="201"/>
      <c r="XI5" s="201"/>
      <c r="XJ5" s="201"/>
      <c r="XK5" s="201"/>
      <c r="XL5" s="201"/>
      <c r="XM5" s="201"/>
      <c r="XN5" s="201"/>
      <c r="XO5" s="201"/>
      <c r="XP5" s="201"/>
      <c r="XQ5" s="201"/>
      <c r="XR5" s="201"/>
      <c r="XS5" s="201"/>
      <c r="XT5" s="201"/>
      <c r="XU5" s="201"/>
      <c r="XV5" s="201"/>
      <c r="XW5" s="201"/>
      <c r="XX5" s="201"/>
      <c r="XY5" s="201"/>
      <c r="XZ5" s="201"/>
      <c r="YA5" s="201"/>
      <c r="YB5" s="201"/>
      <c r="YC5" s="201"/>
      <c r="YD5" s="201"/>
      <c r="YE5" s="201"/>
      <c r="YF5" s="201"/>
      <c r="YG5" s="201"/>
      <c r="YH5" s="201"/>
      <c r="YI5" s="201"/>
      <c r="YJ5" s="201"/>
      <c r="YK5" s="201"/>
      <c r="YL5" s="201"/>
      <c r="YM5" s="201"/>
      <c r="YN5" s="201"/>
      <c r="YO5" s="201"/>
      <c r="YP5" s="201"/>
      <c r="YQ5" s="201"/>
      <c r="YR5" s="201"/>
      <c r="YS5" s="201"/>
      <c r="YT5" s="201"/>
      <c r="YU5" s="201"/>
      <c r="YV5" s="201"/>
      <c r="YW5" s="201"/>
      <c r="YX5" s="201"/>
      <c r="YY5" s="201"/>
      <c r="YZ5" s="201"/>
      <c r="ZA5" s="201"/>
      <c r="ZB5" s="201"/>
      <c r="ZC5" s="201"/>
      <c r="ZD5" s="201"/>
      <c r="ZE5" s="201"/>
      <c r="ZF5" s="201"/>
      <c r="ZG5" s="201"/>
    </row>
    <row r="6" spans="1:683" ht="16.2">
      <c r="A6" s="201"/>
      <c r="B6" s="73"/>
      <c r="C6" s="73"/>
      <c r="D6" s="73"/>
      <c r="E6" s="73"/>
      <c r="F6" s="73"/>
      <c r="G6" s="73"/>
      <c r="H6" s="73"/>
      <c r="I6" s="201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205"/>
      <c r="BC6" s="201"/>
      <c r="BD6" s="201"/>
      <c r="BE6" s="201"/>
      <c r="BF6" s="201"/>
      <c r="BG6" s="201"/>
      <c r="BH6" s="201"/>
      <c r="BI6" s="201"/>
      <c r="BJ6" s="201"/>
      <c r="BK6" s="201"/>
      <c r="BL6" s="201"/>
      <c r="BM6" s="201"/>
      <c r="BN6" s="201"/>
      <c r="BO6" s="201"/>
      <c r="BP6" s="201"/>
      <c r="BQ6" s="201"/>
      <c r="BR6" s="201"/>
      <c r="BS6" s="201"/>
      <c r="BT6" s="201"/>
      <c r="BU6" s="201"/>
      <c r="BV6" s="201"/>
      <c r="BW6" s="201"/>
      <c r="BX6" s="201"/>
      <c r="BY6" s="201"/>
      <c r="BZ6" s="201"/>
      <c r="CA6" s="201"/>
      <c r="CB6" s="201"/>
      <c r="CC6" s="201"/>
      <c r="CD6" s="201"/>
      <c r="CE6" s="201"/>
      <c r="CF6" s="201"/>
      <c r="CG6" s="201"/>
      <c r="CH6" s="201"/>
      <c r="CI6" s="201"/>
      <c r="CJ6" s="201"/>
      <c r="CK6" s="201"/>
      <c r="CL6" s="201"/>
      <c r="CM6" s="201"/>
      <c r="CN6" s="201"/>
      <c r="CO6" s="201"/>
      <c r="CP6" s="201"/>
      <c r="CQ6" s="201"/>
      <c r="CR6" s="201"/>
      <c r="CS6" s="201"/>
      <c r="CT6" s="201"/>
      <c r="CU6" s="201"/>
      <c r="CV6" s="201"/>
      <c r="CW6" s="201"/>
      <c r="CX6" s="201"/>
      <c r="CY6" s="201"/>
      <c r="CZ6" s="201"/>
      <c r="DA6" s="201"/>
      <c r="DB6" s="201"/>
      <c r="DC6" s="201"/>
      <c r="DD6" s="201"/>
      <c r="DE6" s="201"/>
      <c r="DF6" s="201"/>
      <c r="DG6" s="201"/>
      <c r="DH6" s="201"/>
      <c r="DI6" s="201"/>
      <c r="DJ6" s="201"/>
      <c r="DK6" s="201"/>
      <c r="DL6" s="201"/>
      <c r="DM6" s="201"/>
      <c r="DN6" s="201"/>
      <c r="DO6" s="201"/>
      <c r="DP6" s="201"/>
      <c r="DQ6" s="201"/>
      <c r="DR6" s="201"/>
      <c r="DS6" s="201"/>
      <c r="DT6" s="201"/>
      <c r="DU6" s="201"/>
      <c r="DV6" s="201"/>
      <c r="DW6" s="201"/>
      <c r="DX6" s="201"/>
      <c r="DY6" s="201"/>
      <c r="DZ6" s="201"/>
      <c r="EA6" s="201"/>
      <c r="EB6" s="201"/>
      <c r="EC6" s="201"/>
      <c r="ED6" s="201"/>
      <c r="EE6" s="201"/>
      <c r="EF6" s="201"/>
      <c r="EG6" s="201"/>
      <c r="EH6" s="201"/>
      <c r="EI6" s="201"/>
      <c r="EJ6" s="201"/>
      <c r="EK6" s="201"/>
      <c r="EL6" s="201"/>
      <c r="EM6" s="201"/>
      <c r="EN6" s="201"/>
      <c r="EO6" s="201"/>
      <c r="EP6" s="201"/>
      <c r="EQ6" s="201"/>
      <c r="ER6" s="201"/>
      <c r="ES6" s="201"/>
      <c r="ET6" s="201"/>
      <c r="EU6" s="201"/>
      <c r="EV6" s="201"/>
      <c r="EW6" s="201"/>
      <c r="EX6" s="201"/>
      <c r="EY6" s="201"/>
      <c r="EZ6" s="201"/>
      <c r="FA6" s="201"/>
      <c r="FB6" s="201"/>
      <c r="FC6" s="201"/>
      <c r="FD6" s="201"/>
      <c r="FE6" s="201"/>
      <c r="FF6" s="201"/>
      <c r="FG6" s="201"/>
      <c r="FH6" s="201"/>
      <c r="FI6" s="201"/>
      <c r="FJ6" s="201"/>
      <c r="FK6" s="201"/>
      <c r="FL6" s="201"/>
      <c r="FM6" s="201"/>
      <c r="FN6" s="201"/>
      <c r="FO6" s="201"/>
      <c r="FP6" s="201"/>
      <c r="FQ6" s="201"/>
      <c r="FR6" s="201"/>
      <c r="FS6" s="201"/>
      <c r="FT6" s="201"/>
      <c r="FU6" s="201"/>
      <c r="FV6" s="201"/>
      <c r="FW6" s="201"/>
      <c r="FX6" s="201"/>
      <c r="FY6" s="201"/>
      <c r="FZ6" s="201"/>
      <c r="GA6" s="201"/>
      <c r="GB6" s="201"/>
      <c r="GC6" s="201"/>
      <c r="GD6" s="201"/>
      <c r="GE6" s="201"/>
      <c r="GF6" s="201"/>
      <c r="GG6" s="201"/>
      <c r="GH6" s="201"/>
      <c r="GI6" s="201"/>
      <c r="GJ6" s="201"/>
      <c r="GK6" s="201"/>
      <c r="GL6" s="201"/>
      <c r="GM6" s="201"/>
      <c r="GN6" s="201"/>
      <c r="GO6" s="201"/>
      <c r="GP6" s="201"/>
      <c r="GQ6" s="201"/>
      <c r="GR6" s="201"/>
      <c r="GS6" s="201"/>
      <c r="GT6" s="201"/>
      <c r="GU6" s="201"/>
      <c r="GV6" s="201"/>
      <c r="GW6" s="201"/>
      <c r="GX6" s="201"/>
      <c r="GY6" s="201"/>
      <c r="GZ6" s="201"/>
      <c r="HA6" s="201"/>
      <c r="HB6" s="201"/>
      <c r="HC6" s="201"/>
      <c r="HD6" s="201"/>
      <c r="HE6" s="201"/>
      <c r="HF6" s="201"/>
      <c r="HG6" s="201"/>
      <c r="HH6" s="201"/>
      <c r="HI6" s="201"/>
      <c r="HJ6" s="201"/>
      <c r="HK6" s="201"/>
      <c r="HL6" s="201"/>
      <c r="HM6" s="201"/>
      <c r="HN6" s="201"/>
      <c r="HO6" s="201"/>
      <c r="HP6" s="201"/>
      <c r="HQ6" s="201"/>
      <c r="HR6" s="201"/>
      <c r="HS6" s="201"/>
      <c r="HT6" s="201"/>
      <c r="HU6" s="201"/>
      <c r="HV6" s="201"/>
      <c r="HW6" s="201"/>
      <c r="HX6" s="201"/>
      <c r="HY6" s="201"/>
      <c r="HZ6" s="201"/>
      <c r="IA6" s="201"/>
      <c r="IB6" s="201"/>
      <c r="IC6" s="201"/>
      <c r="ID6" s="201"/>
      <c r="IE6" s="201"/>
      <c r="IF6" s="201"/>
      <c r="IG6" s="201"/>
      <c r="IH6" s="201"/>
      <c r="II6" s="201"/>
      <c r="IJ6" s="201"/>
      <c r="IK6" s="201"/>
      <c r="IL6" s="201"/>
      <c r="IM6" s="201"/>
      <c r="IN6" s="201"/>
      <c r="IO6" s="201"/>
      <c r="IP6" s="201"/>
      <c r="IQ6" s="201"/>
      <c r="IR6" s="201"/>
      <c r="IS6" s="201"/>
      <c r="IT6" s="201"/>
      <c r="IU6" s="201"/>
      <c r="IV6" s="201"/>
      <c r="IW6" s="201"/>
      <c r="IX6" s="201"/>
      <c r="IY6" s="201"/>
      <c r="IZ6" s="201"/>
      <c r="JA6" s="201"/>
      <c r="JB6" s="201"/>
      <c r="JC6" s="201"/>
      <c r="JD6" s="201"/>
      <c r="JE6" s="201"/>
      <c r="JF6" s="201"/>
      <c r="JG6" s="201"/>
      <c r="JH6" s="201"/>
      <c r="JI6" s="201"/>
      <c r="JJ6" s="201"/>
      <c r="JK6" s="201"/>
      <c r="JL6" s="201"/>
      <c r="JM6" s="201"/>
      <c r="JN6" s="201"/>
      <c r="JO6" s="201"/>
      <c r="JP6" s="201"/>
      <c r="JQ6" s="201"/>
      <c r="JR6" s="201"/>
      <c r="JS6" s="201"/>
      <c r="JT6" s="201"/>
      <c r="JU6" s="201"/>
      <c r="JV6" s="201"/>
      <c r="JW6" s="201"/>
      <c r="JX6" s="201"/>
      <c r="JY6" s="201"/>
      <c r="JZ6" s="201"/>
      <c r="KA6" s="201"/>
      <c r="KB6" s="201"/>
      <c r="KC6" s="201"/>
      <c r="KD6" s="201"/>
      <c r="KE6" s="201"/>
      <c r="KF6" s="201"/>
      <c r="KG6" s="201"/>
      <c r="KH6" s="201"/>
      <c r="KI6" s="201"/>
      <c r="KJ6" s="201"/>
      <c r="KK6" s="201"/>
      <c r="KL6" s="201"/>
      <c r="KM6" s="201"/>
      <c r="KN6" s="201"/>
      <c r="KO6" s="201"/>
      <c r="KP6" s="201"/>
      <c r="KQ6" s="201"/>
      <c r="KR6" s="201"/>
      <c r="KS6" s="201"/>
      <c r="KT6" s="201"/>
      <c r="KU6" s="201"/>
      <c r="KV6" s="201"/>
      <c r="KW6" s="201"/>
      <c r="KX6" s="201"/>
      <c r="KY6" s="201"/>
      <c r="KZ6" s="201"/>
      <c r="LA6" s="201"/>
      <c r="LB6" s="201"/>
      <c r="LC6" s="201"/>
      <c r="LD6" s="201"/>
      <c r="LE6" s="201"/>
      <c r="LF6" s="201"/>
      <c r="LG6" s="201"/>
      <c r="LH6" s="201"/>
      <c r="LI6" s="201"/>
      <c r="LJ6" s="201"/>
      <c r="LK6" s="201"/>
      <c r="LL6" s="201"/>
      <c r="LM6" s="201"/>
      <c r="LN6" s="201"/>
      <c r="LO6" s="201"/>
      <c r="LP6" s="201"/>
      <c r="LQ6" s="201"/>
      <c r="LR6" s="201"/>
      <c r="LS6" s="201"/>
      <c r="LT6" s="201"/>
      <c r="LU6" s="201"/>
      <c r="LV6" s="201"/>
      <c r="LW6" s="201"/>
      <c r="LX6" s="201"/>
      <c r="LY6" s="201"/>
      <c r="LZ6" s="201"/>
      <c r="MA6" s="201"/>
      <c r="MB6" s="201"/>
      <c r="MC6" s="201"/>
      <c r="MD6" s="201"/>
      <c r="ME6" s="201"/>
      <c r="MF6" s="201"/>
      <c r="MG6" s="201"/>
      <c r="MH6" s="201"/>
      <c r="MI6" s="201"/>
      <c r="MJ6" s="201"/>
      <c r="MK6" s="201"/>
      <c r="ML6" s="201"/>
      <c r="MM6" s="201"/>
      <c r="MN6" s="201"/>
      <c r="MO6" s="201"/>
      <c r="MP6" s="201"/>
      <c r="MQ6" s="201"/>
      <c r="MR6" s="201"/>
      <c r="MS6" s="201"/>
      <c r="MT6" s="201"/>
      <c r="MU6" s="201"/>
      <c r="MV6" s="201"/>
      <c r="MW6" s="201"/>
      <c r="MX6" s="201"/>
      <c r="MY6" s="201"/>
      <c r="MZ6" s="201"/>
      <c r="NA6" s="201"/>
      <c r="NB6" s="201"/>
      <c r="NC6" s="201"/>
      <c r="ND6" s="201"/>
      <c r="NE6" s="201"/>
      <c r="NF6" s="201"/>
      <c r="NG6" s="201"/>
      <c r="NH6" s="201"/>
      <c r="NI6" s="201"/>
      <c r="NJ6" s="201"/>
      <c r="NK6" s="201"/>
      <c r="NL6" s="201"/>
      <c r="NM6" s="201"/>
      <c r="NN6" s="201"/>
      <c r="NO6" s="201"/>
      <c r="NP6" s="201"/>
      <c r="NQ6" s="201"/>
      <c r="NR6" s="201"/>
      <c r="NS6" s="201"/>
      <c r="NT6" s="201"/>
      <c r="NU6" s="201"/>
      <c r="NV6" s="201"/>
      <c r="NW6" s="201"/>
      <c r="NX6" s="201"/>
      <c r="NY6" s="201"/>
      <c r="NZ6" s="201"/>
      <c r="OA6" s="201"/>
      <c r="OB6" s="201"/>
      <c r="OC6" s="201"/>
      <c r="OD6" s="201"/>
      <c r="OE6" s="201"/>
      <c r="OF6" s="201"/>
      <c r="OG6" s="201"/>
      <c r="OH6" s="201"/>
      <c r="OI6" s="201"/>
      <c r="OJ6" s="201"/>
      <c r="OK6" s="201"/>
      <c r="OL6" s="201"/>
      <c r="OM6" s="201"/>
      <c r="ON6" s="201"/>
      <c r="OO6" s="201"/>
      <c r="OP6" s="201"/>
      <c r="OQ6" s="201"/>
      <c r="OR6" s="201"/>
      <c r="OS6" s="201"/>
      <c r="OT6" s="201"/>
      <c r="OU6" s="201"/>
      <c r="OV6" s="201"/>
      <c r="OW6" s="201"/>
      <c r="OX6" s="201"/>
      <c r="OY6" s="201"/>
      <c r="OZ6" s="201"/>
      <c r="PA6" s="201"/>
      <c r="PB6" s="201"/>
      <c r="PC6" s="201"/>
      <c r="PD6" s="201"/>
      <c r="PE6" s="201"/>
      <c r="PF6" s="201"/>
      <c r="PG6" s="201"/>
      <c r="PH6" s="201"/>
      <c r="PI6" s="201"/>
      <c r="PJ6" s="201"/>
      <c r="PK6" s="201"/>
      <c r="PL6" s="201"/>
      <c r="PM6" s="201"/>
      <c r="PN6" s="201"/>
      <c r="PO6" s="201"/>
      <c r="PP6" s="201"/>
      <c r="PQ6" s="201"/>
      <c r="PR6" s="201"/>
      <c r="PS6" s="201"/>
      <c r="PT6" s="201"/>
      <c r="PU6" s="201"/>
      <c r="PV6" s="201"/>
      <c r="PW6" s="201"/>
      <c r="PX6" s="201"/>
      <c r="PY6" s="201"/>
      <c r="PZ6" s="201"/>
      <c r="QA6" s="201"/>
      <c r="QB6" s="201"/>
      <c r="QC6" s="201"/>
      <c r="QD6" s="201"/>
      <c r="QE6" s="201"/>
      <c r="QF6" s="201"/>
      <c r="QG6" s="201"/>
      <c r="QH6" s="201"/>
      <c r="QI6" s="201"/>
      <c r="QJ6" s="201"/>
      <c r="QK6" s="201"/>
      <c r="QL6" s="201"/>
      <c r="QM6" s="201"/>
      <c r="QN6" s="201"/>
      <c r="QO6" s="201"/>
      <c r="QP6" s="201"/>
      <c r="QQ6" s="201"/>
      <c r="QR6" s="201"/>
      <c r="QS6" s="201"/>
      <c r="QT6" s="201"/>
      <c r="QU6" s="201"/>
      <c r="QV6" s="201"/>
      <c r="QW6" s="201"/>
      <c r="QX6" s="201"/>
      <c r="QY6" s="201"/>
      <c r="QZ6" s="201"/>
      <c r="RA6" s="201"/>
      <c r="RB6" s="201"/>
      <c r="RC6" s="201"/>
      <c r="RD6" s="201"/>
      <c r="RE6" s="201"/>
      <c r="RF6" s="201"/>
      <c r="RG6" s="201"/>
      <c r="RH6" s="201"/>
      <c r="RI6" s="201"/>
      <c r="RJ6" s="201"/>
      <c r="RK6" s="201"/>
      <c r="RL6" s="201"/>
      <c r="RM6" s="201"/>
      <c r="RN6" s="201"/>
      <c r="RO6" s="201"/>
      <c r="RP6" s="201"/>
      <c r="RQ6" s="201"/>
      <c r="RR6" s="201"/>
      <c r="RS6" s="201"/>
      <c r="RT6" s="201"/>
      <c r="RU6" s="201"/>
      <c r="RV6" s="201"/>
      <c r="RW6" s="201"/>
      <c r="RX6" s="201"/>
      <c r="RY6" s="201"/>
      <c r="RZ6" s="201"/>
      <c r="SA6" s="201"/>
      <c r="SB6" s="201"/>
      <c r="SC6" s="201"/>
      <c r="SD6" s="201"/>
      <c r="SE6" s="201"/>
      <c r="SF6" s="201"/>
      <c r="SG6" s="201"/>
      <c r="SH6" s="201"/>
      <c r="SI6" s="201"/>
      <c r="SJ6" s="201"/>
      <c r="SK6" s="201"/>
      <c r="SL6" s="201"/>
      <c r="SM6" s="201"/>
      <c r="SN6" s="201"/>
      <c r="SO6" s="201"/>
      <c r="SP6" s="201"/>
      <c r="SQ6" s="201"/>
      <c r="SR6" s="201"/>
      <c r="SS6" s="201"/>
      <c r="ST6" s="201"/>
      <c r="SU6" s="201"/>
      <c r="SV6" s="201"/>
      <c r="SW6" s="201"/>
      <c r="SX6" s="201"/>
      <c r="SY6" s="201"/>
      <c r="SZ6" s="201"/>
      <c r="TA6" s="201"/>
      <c r="TB6" s="201"/>
      <c r="TC6" s="201"/>
      <c r="TD6" s="201"/>
      <c r="TE6" s="201"/>
      <c r="TF6" s="201"/>
      <c r="TG6" s="201"/>
      <c r="TH6" s="201"/>
      <c r="TI6" s="201"/>
      <c r="TJ6" s="201"/>
      <c r="TK6" s="201"/>
      <c r="TL6" s="201"/>
      <c r="TM6" s="201"/>
      <c r="TN6" s="201"/>
      <c r="TO6" s="201"/>
      <c r="TP6" s="201"/>
      <c r="TQ6" s="201"/>
      <c r="TR6" s="201"/>
      <c r="TS6" s="201"/>
      <c r="TT6" s="201"/>
      <c r="TU6" s="201"/>
      <c r="TV6" s="201"/>
      <c r="TW6" s="201"/>
      <c r="TX6" s="201"/>
      <c r="TY6" s="201"/>
      <c r="TZ6" s="201"/>
      <c r="UA6" s="201"/>
      <c r="UB6" s="201"/>
      <c r="UC6" s="201"/>
      <c r="UD6" s="201"/>
      <c r="UE6" s="201"/>
      <c r="UF6" s="201"/>
      <c r="UG6" s="201"/>
      <c r="UH6" s="201"/>
      <c r="UI6" s="201"/>
      <c r="UJ6" s="201"/>
      <c r="UK6" s="201"/>
      <c r="UL6" s="201"/>
      <c r="UM6" s="201"/>
      <c r="UN6" s="201"/>
      <c r="UO6" s="201"/>
      <c r="UP6" s="201"/>
      <c r="UQ6" s="201"/>
      <c r="UR6" s="201"/>
      <c r="US6" s="201"/>
      <c r="UT6" s="201"/>
      <c r="UU6" s="201"/>
      <c r="UV6" s="201"/>
      <c r="UW6" s="201"/>
      <c r="UX6" s="201"/>
      <c r="UY6" s="201"/>
      <c r="UZ6" s="201"/>
      <c r="VA6" s="201"/>
      <c r="VB6" s="201"/>
      <c r="VC6" s="201"/>
      <c r="VD6" s="201"/>
      <c r="VE6" s="201"/>
      <c r="VF6" s="201"/>
      <c r="VG6" s="201"/>
      <c r="VH6" s="201"/>
      <c r="VI6" s="201"/>
      <c r="VJ6" s="201"/>
      <c r="VK6" s="201"/>
      <c r="VL6" s="201"/>
      <c r="VM6" s="201"/>
      <c r="VN6" s="201"/>
      <c r="VO6" s="201"/>
      <c r="VP6" s="201"/>
      <c r="VQ6" s="201"/>
      <c r="VR6" s="201"/>
      <c r="VS6" s="201"/>
      <c r="VT6" s="201"/>
      <c r="VU6" s="201"/>
      <c r="VV6" s="201"/>
      <c r="VW6" s="201"/>
      <c r="VX6" s="201"/>
      <c r="VY6" s="201"/>
      <c r="VZ6" s="201"/>
      <c r="WA6" s="201"/>
      <c r="WB6" s="201"/>
      <c r="WC6" s="201"/>
      <c r="WD6" s="201"/>
      <c r="WE6" s="201"/>
      <c r="WF6" s="201"/>
      <c r="WG6" s="201"/>
      <c r="WH6" s="201"/>
      <c r="WI6" s="201"/>
      <c r="WJ6" s="201"/>
      <c r="WK6" s="201"/>
      <c r="WL6" s="201"/>
      <c r="WM6" s="201"/>
      <c r="WN6" s="201"/>
      <c r="WO6" s="201"/>
      <c r="WP6" s="201"/>
      <c r="WQ6" s="201"/>
      <c r="WR6" s="201"/>
      <c r="WS6" s="201"/>
      <c r="WT6" s="201"/>
      <c r="WU6" s="201"/>
      <c r="WV6" s="201"/>
      <c r="WW6" s="201"/>
      <c r="WX6" s="201"/>
      <c r="WY6" s="201"/>
      <c r="WZ6" s="201"/>
      <c r="XA6" s="201"/>
      <c r="XB6" s="201"/>
      <c r="XC6" s="201"/>
      <c r="XD6" s="201"/>
      <c r="XE6" s="201"/>
      <c r="XF6" s="201"/>
      <c r="XG6" s="201"/>
      <c r="XH6" s="201"/>
      <c r="XI6" s="201"/>
      <c r="XJ6" s="201"/>
      <c r="XK6" s="201"/>
      <c r="XL6" s="201"/>
      <c r="XM6" s="201"/>
      <c r="XN6" s="201"/>
      <c r="XO6" s="201"/>
      <c r="XP6" s="201"/>
      <c r="XQ6" s="201"/>
      <c r="XR6" s="201"/>
      <c r="XS6" s="201"/>
      <c r="XT6" s="201"/>
      <c r="XU6" s="201"/>
      <c r="XV6" s="201"/>
      <c r="XW6" s="201"/>
      <c r="XX6" s="201"/>
      <c r="XY6" s="201"/>
      <c r="XZ6" s="201"/>
      <c r="YA6" s="201"/>
      <c r="YB6" s="201"/>
      <c r="YC6" s="201"/>
      <c r="YD6" s="201"/>
      <c r="YE6" s="201"/>
      <c r="YF6" s="201"/>
      <c r="YG6" s="201"/>
      <c r="YH6" s="201"/>
      <c r="YI6" s="201"/>
      <c r="YJ6" s="201"/>
      <c r="YK6" s="201"/>
      <c r="YL6" s="201"/>
      <c r="YM6" s="201"/>
      <c r="YN6" s="201"/>
      <c r="YO6" s="201"/>
      <c r="YP6" s="201"/>
      <c r="YQ6" s="201"/>
      <c r="YR6" s="201"/>
      <c r="YS6" s="201"/>
      <c r="YT6" s="201"/>
      <c r="YU6" s="201"/>
      <c r="YV6" s="201"/>
      <c r="YW6" s="201"/>
      <c r="YX6" s="201"/>
      <c r="YY6" s="201"/>
      <c r="YZ6" s="201"/>
      <c r="ZA6" s="201"/>
      <c r="ZB6" s="201"/>
      <c r="ZC6" s="201"/>
      <c r="ZD6" s="201"/>
      <c r="ZE6" s="201"/>
      <c r="ZF6" s="201"/>
      <c r="ZG6" s="201"/>
    </row>
    <row r="7" spans="1:683">
      <c r="A7" s="201"/>
      <c r="B7" s="201"/>
      <c r="C7" s="201"/>
      <c r="D7" s="73"/>
      <c r="E7" s="201"/>
      <c r="F7" s="201"/>
      <c r="G7" s="201"/>
      <c r="H7" s="201"/>
      <c r="I7" s="201"/>
      <c r="J7" s="311" t="s">
        <v>4</v>
      </c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11"/>
      <c r="AB7" s="311"/>
      <c r="AC7" s="311"/>
      <c r="AD7" s="311"/>
      <c r="AE7" s="311"/>
      <c r="AF7" s="311"/>
      <c r="AG7" s="311"/>
      <c r="AH7" s="311"/>
      <c r="AI7" s="311"/>
      <c r="AJ7" s="311"/>
      <c r="AK7" s="274"/>
      <c r="AL7" s="274"/>
      <c r="AM7" s="274"/>
      <c r="AN7" s="274"/>
      <c r="AO7" s="274"/>
      <c r="AP7" s="274"/>
      <c r="AQ7" s="274"/>
      <c r="AR7" s="274"/>
      <c r="AS7" s="274"/>
      <c r="AT7" s="274"/>
      <c r="AU7" s="274"/>
      <c r="AV7" s="274"/>
      <c r="AW7" s="274"/>
      <c r="AX7" s="274"/>
      <c r="AY7" s="274"/>
      <c r="AZ7" s="274"/>
      <c r="BA7" s="274"/>
      <c r="BB7" s="274"/>
      <c r="BC7" s="274"/>
      <c r="BD7" s="274"/>
      <c r="BE7" s="274"/>
      <c r="BF7" s="274"/>
      <c r="BG7" s="274"/>
      <c r="BH7" s="201"/>
      <c r="BI7" s="201"/>
      <c r="BJ7" s="201"/>
      <c r="BK7" s="201"/>
      <c r="BL7" s="201"/>
      <c r="BM7" s="201"/>
      <c r="BN7" s="201"/>
      <c r="BO7" s="201"/>
      <c r="BP7" s="201"/>
      <c r="BQ7" s="201"/>
      <c r="BR7" s="201"/>
      <c r="BS7" s="201"/>
      <c r="BT7" s="201"/>
      <c r="BU7" s="201"/>
      <c r="BV7" s="201"/>
      <c r="BW7" s="201"/>
      <c r="BX7" s="201"/>
      <c r="BY7" s="201"/>
      <c r="BZ7" s="201"/>
      <c r="CA7" s="201"/>
      <c r="CB7" s="201"/>
      <c r="CC7" s="201"/>
      <c r="CD7" s="201"/>
      <c r="CE7" s="201"/>
      <c r="CF7" s="201"/>
      <c r="CG7" s="201"/>
      <c r="CH7" s="201"/>
      <c r="CI7" s="201"/>
      <c r="CJ7" s="201"/>
      <c r="CK7" s="201"/>
      <c r="CL7" s="201"/>
      <c r="CM7" s="201"/>
      <c r="CN7" s="201"/>
      <c r="CO7" s="201"/>
      <c r="CP7" s="201"/>
      <c r="CQ7" s="201"/>
      <c r="CR7" s="201"/>
      <c r="CS7" s="201"/>
      <c r="CT7" s="201"/>
      <c r="CU7" s="201"/>
      <c r="CV7" s="201"/>
      <c r="CW7" s="201"/>
      <c r="CX7" s="201"/>
      <c r="CY7" s="201"/>
      <c r="CZ7" s="201"/>
      <c r="DA7" s="201"/>
      <c r="DB7" s="201"/>
      <c r="DC7" s="201"/>
      <c r="DD7" s="201"/>
      <c r="DE7" s="201"/>
      <c r="DF7" s="201"/>
      <c r="DG7" s="201"/>
      <c r="DH7" s="201"/>
      <c r="DI7" s="201"/>
      <c r="DJ7" s="201"/>
      <c r="DK7" s="201"/>
      <c r="DL7" s="201"/>
      <c r="DM7" s="201"/>
      <c r="DN7" s="201"/>
      <c r="DO7" s="201"/>
      <c r="DP7" s="201"/>
      <c r="DQ7" s="201"/>
      <c r="DR7" s="201"/>
      <c r="DS7" s="201"/>
      <c r="DT7" s="201"/>
      <c r="DU7" s="201"/>
      <c r="DV7" s="201"/>
      <c r="DW7" s="201"/>
      <c r="DX7" s="201"/>
      <c r="DY7" s="201"/>
      <c r="DZ7" s="201"/>
      <c r="EA7" s="201"/>
      <c r="EB7" s="201"/>
      <c r="EC7" s="201"/>
      <c r="ED7" s="201"/>
      <c r="EE7" s="201"/>
      <c r="EF7" s="201"/>
      <c r="EG7" s="201"/>
      <c r="EH7" s="201"/>
      <c r="EI7" s="201"/>
      <c r="EJ7" s="201"/>
      <c r="EK7" s="201"/>
      <c r="EL7" s="201"/>
      <c r="EM7" s="201"/>
      <c r="EN7" s="201"/>
      <c r="EO7" s="201"/>
      <c r="EP7" s="201"/>
      <c r="EQ7" s="201"/>
      <c r="ER7" s="201"/>
      <c r="ES7" s="201"/>
      <c r="ET7" s="201"/>
      <c r="EU7" s="201"/>
      <c r="EV7" s="201"/>
      <c r="EW7" s="201"/>
      <c r="EX7" s="201"/>
      <c r="EY7" s="201"/>
      <c r="EZ7" s="201"/>
      <c r="FA7" s="201"/>
      <c r="FB7" s="201"/>
      <c r="FC7" s="201"/>
      <c r="FD7" s="201"/>
      <c r="FE7" s="201"/>
      <c r="FF7" s="201"/>
      <c r="FG7" s="201"/>
      <c r="FH7" s="201"/>
      <c r="FI7" s="201"/>
      <c r="FJ7" s="201"/>
      <c r="FK7" s="201"/>
      <c r="FL7" s="201"/>
      <c r="FM7" s="201"/>
      <c r="FN7" s="201"/>
      <c r="FO7" s="201"/>
      <c r="FP7" s="201"/>
      <c r="FQ7" s="201"/>
      <c r="FR7" s="201"/>
      <c r="FS7" s="201"/>
      <c r="FT7" s="201"/>
      <c r="FU7" s="201"/>
      <c r="FV7" s="201"/>
      <c r="FW7" s="201"/>
      <c r="FX7" s="201"/>
      <c r="FY7" s="201"/>
      <c r="FZ7" s="201"/>
      <c r="GA7" s="201"/>
      <c r="GB7" s="201"/>
      <c r="GC7" s="201"/>
      <c r="GD7" s="201"/>
      <c r="GE7" s="201"/>
      <c r="GF7" s="201"/>
      <c r="GG7" s="201"/>
      <c r="GH7" s="201"/>
      <c r="GI7" s="201"/>
      <c r="GJ7" s="201"/>
      <c r="GK7" s="201"/>
      <c r="GL7" s="201"/>
      <c r="GM7" s="201"/>
      <c r="GN7" s="201"/>
      <c r="GO7" s="201"/>
      <c r="GP7" s="201"/>
      <c r="GQ7" s="201"/>
      <c r="GR7" s="201"/>
      <c r="GS7" s="201"/>
      <c r="GT7" s="201"/>
      <c r="GU7" s="201"/>
      <c r="GV7" s="201"/>
      <c r="GW7" s="201"/>
      <c r="GX7" s="201"/>
      <c r="GY7" s="201"/>
      <c r="GZ7" s="201"/>
      <c r="HA7" s="201"/>
      <c r="HB7" s="201"/>
      <c r="HC7" s="201"/>
      <c r="HD7" s="201"/>
      <c r="HE7" s="201"/>
      <c r="HF7" s="201"/>
      <c r="HG7" s="201"/>
      <c r="HH7" s="201"/>
      <c r="HI7" s="201"/>
      <c r="HJ7" s="201"/>
      <c r="HK7" s="201"/>
      <c r="HL7" s="201"/>
      <c r="HM7" s="201"/>
      <c r="HN7" s="201"/>
      <c r="HO7" s="201"/>
      <c r="HP7" s="201"/>
      <c r="HQ7" s="201"/>
      <c r="HR7" s="201"/>
      <c r="HS7" s="201"/>
      <c r="HT7" s="201"/>
      <c r="HU7" s="201"/>
      <c r="HV7" s="201"/>
      <c r="HW7" s="201"/>
      <c r="HX7" s="201"/>
      <c r="HY7" s="201"/>
      <c r="HZ7" s="201"/>
      <c r="IA7" s="201"/>
      <c r="IB7" s="201"/>
      <c r="IC7" s="201"/>
      <c r="ID7" s="201"/>
      <c r="IE7" s="201"/>
      <c r="IF7" s="201"/>
      <c r="IG7" s="201"/>
      <c r="IH7" s="201"/>
      <c r="II7" s="201"/>
      <c r="IJ7" s="201"/>
      <c r="IK7" s="201"/>
      <c r="IL7" s="201"/>
      <c r="IM7" s="201"/>
      <c r="IN7" s="201"/>
      <c r="IO7" s="201"/>
      <c r="IP7" s="201"/>
      <c r="IQ7" s="201"/>
      <c r="IR7" s="201"/>
      <c r="IS7" s="201"/>
      <c r="IT7" s="201"/>
      <c r="IU7" s="201"/>
      <c r="IV7" s="201"/>
      <c r="IW7" s="201"/>
      <c r="IX7" s="201"/>
      <c r="IY7" s="201"/>
      <c r="IZ7" s="201"/>
      <c r="JA7" s="201"/>
      <c r="JB7" s="201"/>
      <c r="JC7" s="201"/>
      <c r="JD7" s="201"/>
      <c r="JE7" s="201"/>
      <c r="JF7" s="201"/>
      <c r="JG7" s="201"/>
      <c r="JH7" s="201"/>
      <c r="JI7" s="201"/>
      <c r="JJ7" s="201"/>
      <c r="JK7" s="201"/>
      <c r="JL7" s="201"/>
      <c r="JM7" s="201"/>
      <c r="JN7" s="201"/>
      <c r="JO7" s="201"/>
      <c r="JP7" s="201"/>
      <c r="JQ7" s="201"/>
      <c r="JR7" s="201"/>
      <c r="JS7" s="201"/>
      <c r="JT7" s="201"/>
      <c r="JU7" s="201"/>
      <c r="JV7" s="201"/>
      <c r="JW7" s="201"/>
      <c r="JX7" s="201"/>
      <c r="JY7" s="201"/>
      <c r="JZ7" s="201"/>
      <c r="KA7" s="201"/>
      <c r="KB7" s="201"/>
      <c r="KC7" s="201"/>
      <c r="KD7" s="201"/>
      <c r="KE7" s="201"/>
      <c r="KF7" s="201"/>
      <c r="KG7" s="201"/>
      <c r="KH7" s="201"/>
      <c r="KI7" s="201"/>
      <c r="KJ7" s="201"/>
      <c r="KK7" s="201"/>
      <c r="KL7" s="201"/>
      <c r="KM7" s="201"/>
      <c r="KN7" s="201"/>
      <c r="KO7" s="201"/>
      <c r="KP7" s="201"/>
      <c r="KQ7" s="201"/>
      <c r="KR7" s="201"/>
      <c r="KS7" s="201"/>
      <c r="KT7" s="201"/>
      <c r="KU7" s="201"/>
      <c r="KV7" s="201"/>
      <c r="KW7" s="201"/>
      <c r="KX7" s="201"/>
      <c r="KY7" s="201"/>
      <c r="KZ7" s="201"/>
      <c r="LA7" s="201"/>
      <c r="LB7" s="201"/>
      <c r="LC7" s="201"/>
      <c r="LD7" s="201"/>
      <c r="LE7" s="201"/>
      <c r="LF7" s="201"/>
      <c r="LG7" s="201"/>
      <c r="LH7" s="201"/>
      <c r="LI7" s="201"/>
      <c r="LJ7" s="201"/>
      <c r="LK7" s="201"/>
      <c r="LL7" s="201"/>
      <c r="LM7" s="201"/>
      <c r="LN7" s="201"/>
      <c r="LO7" s="201"/>
      <c r="LP7" s="201"/>
      <c r="LQ7" s="201"/>
      <c r="LR7" s="201"/>
      <c r="LS7" s="201"/>
      <c r="LT7" s="201"/>
      <c r="LU7" s="201"/>
      <c r="LV7" s="201"/>
      <c r="LW7" s="201"/>
      <c r="LX7" s="201"/>
      <c r="LY7" s="201"/>
      <c r="LZ7" s="201"/>
      <c r="MA7" s="201"/>
      <c r="MB7" s="201"/>
      <c r="MC7" s="201"/>
      <c r="MD7" s="201"/>
      <c r="ME7" s="201"/>
      <c r="MF7" s="201"/>
      <c r="MG7" s="201"/>
      <c r="MH7" s="201"/>
      <c r="MI7" s="201"/>
      <c r="MJ7" s="201"/>
      <c r="MK7" s="201"/>
      <c r="ML7" s="201"/>
      <c r="MM7" s="201"/>
      <c r="MN7" s="201"/>
      <c r="MO7" s="201"/>
      <c r="MP7" s="201"/>
      <c r="MQ7" s="201"/>
      <c r="MR7" s="201"/>
      <c r="MS7" s="201"/>
      <c r="MT7" s="201"/>
      <c r="MU7" s="201"/>
      <c r="MV7" s="201"/>
      <c r="MW7" s="201"/>
      <c r="MX7" s="201"/>
      <c r="MY7" s="201"/>
      <c r="MZ7" s="201"/>
      <c r="NA7" s="201"/>
      <c r="NB7" s="201"/>
      <c r="NC7" s="201"/>
      <c r="ND7" s="201"/>
      <c r="NE7" s="201"/>
      <c r="NF7" s="201"/>
      <c r="NG7" s="201"/>
      <c r="NH7" s="201"/>
      <c r="NI7" s="201"/>
      <c r="NJ7" s="201"/>
      <c r="NK7" s="201"/>
      <c r="NL7" s="201"/>
      <c r="NM7" s="201"/>
      <c r="NN7" s="201"/>
      <c r="NO7" s="201"/>
      <c r="NP7" s="201"/>
      <c r="NQ7" s="201"/>
      <c r="NR7" s="201"/>
      <c r="NS7" s="201"/>
      <c r="NT7" s="201"/>
      <c r="NU7" s="201"/>
      <c r="NV7" s="201"/>
      <c r="NW7" s="201"/>
      <c r="NX7" s="201"/>
      <c r="NY7" s="201"/>
      <c r="NZ7" s="201"/>
      <c r="OA7" s="201"/>
      <c r="OB7" s="201"/>
      <c r="OC7" s="201"/>
      <c r="OD7" s="201"/>
      <c r="OE7" s="201"/>
      <c r="OF7" s="201"/>
      <c r="OG7" s="201"/>
      <c r="OH7" s="201"/>
      <c r="OI7" s="201"/>
      <c r="OJ7" s="201"/>
      <c r="OK7" s="201"/>
      <c r="OL7" s="201"/>
      <c r="OM7" s="201"/>
      <c r="ON7" s="201"/>
      <c r="OO7" s="201"/>
      <c r="OP7" s="201"/>
      <c r="OQ7" s="201"/>
      <c r="OR7" s="201"/>
      <c r="OS7" s="201"/>
      <c r="OT7" s="201"/>
      <c r="OU7" s="201"/>
      <c r="OV7" s="201"/>
      <c r="OW7" s="201"/>
      <c r="OX7" s="201"/>
      <c r="OY7" s="201"/>
      <c r="OZ7" s="201"/>
      <c r="PA7" s="201"/>
      <c r="PB7" s="201"/>
      <c r="PC7" s="201"/>
      <c r="PD7" s="201"/>
      <c r="PE7" s="201"/>
      <c r="PF7" s="201"/>
      <c r="PG7" s="201"/>
      <c r="PH7" s="201"/>
      <c r="PI7" s="201"/>
      <c r="PJ7" s="201"/>
      <c r="PK7" s="201"/>
      <c r="PL7" s="201"/>
      <c r="PM7" s="201"/>
      <c r="PN7" s="201"/>
      <c r="PO7" s="201"/>
      <c r="PP7" s="201"/>
      <c r="PQ7" s="201"/>
      <c r="PR7" s="201"/>
      <c r="PS7" s="201"/>
      <c r="PT7" s="201"/>
      <c r="PU7" s="201"/>
      <c r="PV7" s="201"/>
      <c r="PW7" s="201"/>
      <c r="PX7" s="201"/>
      <c r="PY7" s="201"/>
      <c r="PZ7" s="201"/>
      <c r="QA7" s="201"/>
      <c r="QB7" s="201"/>
      <c r="QC7" s="201"/>
      <c r="QD7" s="201"/>
      <c r="QE7" s="201"/>
      <c r="QF7" s="201"/>
      <c r="QG7" s="201"/>
      <c r="QH7" s="201"/>
      <c r="QI7" s="201"/>
      <c r="QJ7" s="201"/>
      <c r="QK7" s="201"/>
      <c r="QL7" s="201"/>
      <c r="QM7" s="201"/>
      <c r="QN7" s="201"/>
      <c r="QO7" s="201"/>
      <c r="QP7" s="201"/>
      <c r="QQ7" s="201"/>
      <c r="QR7" s="201"/>
      <c r="QS7" s="201"/>
      <c r="QT7" s="201"/>
      <c r="QU7" s="201"/>
      <c r="QV7" s="201"/>
      <c r="QW7" s="201"/>
      <c r="QX7" s="201"/>
      <c r="QY7" s="201"/>
      <c r="QZ7" s="201"/>
      <c r="RA7" s="201"/>
      <c r="RB7" s="201"/>
      <c r="RC7" s="201"/>
      <c r="RD7" s="201"/>
      <c r="RE7" s="201"/>
      <c r="RF7" s="201"/>
      <c r="RG7" s="201"/>
      <c r="RH7" s="201"/>
      <c r="RI7" s="201"/>
      <c r="RJ7" s="201"/>
      <c r="RK7" s="201"/>
      <c r="RL7" s="201"/>
      <c r="RM7" s="201"/>
      <c r="RN7" s="201"/>
      <c r="RO7" s="201"/>
      <c r="RP7" s="201"/>
      <c r="RQ7" s="201"/>
      <c r="RR7" s="201"/>
      <c r="RS7" s="201"/>
      <c r="RT7" s="201"/>
      <c r="RU7" s="201"/>
      <c r="RV7" s="201"/>
      <c r="RW7" s="201"/>
      <c r="RX7" s="201"/>
      <c r="RY7" s="201"/>
      <c r="RZ7" s="201"/>
      <c r="SA7" s="201"/>
      <c r="SB7" s="201"/>
      <c r="SC7" s="201"/>
      <c r="SD7" s="201"/>
      <c r="SE7" s="201"/>
      <c r="SF7" s="201"/>
      <c r="SG7" s="201"/>
      <c r="SH7" s="201"/>
      <c r="SI7" s="201"/>
      <c r="SJ7" s="201"/>
      <c r="SK7" s="201"/>
      <c r="SL7" s="201"/>
      <c r="SM7" s="201"/>
      <c r="SN7" s="201"/>
      <c r="SO7" s="201"/>
      <c r="SP7" s="201"/>
      <c r="SQ7" s="201"/>
      <c r="SR7" s="201"/>
      <c r="SS7" s="201"/>
      <c r="ST7" s="201"/>
      <c r="SU7" s="201"/>
      <c r="SV7" s="201"/>
      <c r="SW7" s="201"/>
      <c r="SX7" s="201"/>
      <c r="SY7" s="201"/>
      <c r="SZ7" s="201"/>
      <c r="TA7" s="201"/>
      <c r="TB7" s="201"/>
      <c r="TC7" s="201"/>
      <c r="TD7" s="201"/>
      <c r="TE7" s="201"/>
      <c r="TF7" s="201"/>
      <c r="TG7" s="201"/>
      <c r="TH7" s="201"/>
      <c r="TI7" s="201"/>
      <c r="TJ7" s="201"/>
      <c r="TK7" s="201"/>
      <c r="TL7" s="201"/>
      <c r="TM7" s="201"/>
      <c r="TN7" s="201"/>
      <c r="TO7" s="201"/>
      <c r="TP7" s="201"/>
      <c r="TQ7" s="201"/>
      <c r="TR7" s="201"/>
      <c r="TS7" s="201"/>
      <c r="TT7" s="201"/>
      <c r="TU7" s="201"/>
      <c r="TV7" s="201"/>
      <c r="TW7" s="201"/>
      <c r="TX7" s="201"/>
      <c r="TY7" s="201"/>
      <c r="TZ7" s="201"/>
      <c r="UA7" s="201"/>
      <c r="UB7" s="201"/>
      <c r="UC7" s="201"/>
      <c r="UD7" s="201"/>
      <c r="UE7" s="201"/>
      <c r="UF7" s="201"/>
      <c r="UG7" s="201"/>
      <c r="UH7" s="201"/>
      <c r="UI7" s="201"/>
      <c r="UJ7" s="201"/>
      <c r="UK7" s="201"/>
      <c r="UL7" s="201"/>
      <c r="UM7" s="201"/>
      <c r="UN7" s="201"/>
      <c r="UO7" s="201"/>
      <c r="UP7" s="201"/>
      <c r="UQ7" s="201"/>
      <c r="UR7" s="201"/>
      <c r="US7" s="201"/>
      <c r="UT7" s="201"/>
      <c r="UU7" s="201"/>
      <c r="UV7" s="201"/>
      <c r="UW7" s="201"/>
      <c r="UX7" s="201"/>
      <c r="UY7" s="201"/>
      <c r="UZ7" s="201"/>
      <c r="VA7" s="201"/>
      <c r="VB7" s="201"/>
      <c r="VC7" s="201"/>
      <c r="VD7" s="201"/>
      <c r="VE7" s="201"/>
      <c r="VF7" s="201"/>
      <c r="VG7" s="201"/>
      <c r="VH7" s="201"/>
      <c r="VI7" s="201"/>
      <c r="VJ7" s="201"/>
      <c r="VK7" s="201"/>
      <c r="VL7" s="201"/>
      <c r="VM7" s="201"/>
      <c r="VN7" s="201"/>
      <c r="VO7" s="201"/>
      <c r="VP7" s="201"/>
      <c r="VQ7" s="201"/>
      <c r="VR7" s="201"/>
      <c r="VS7" s="201"/>
      <c r="VT7" s="201"/>
      <c r="VU7" s="201"/>
      <c r="VV7" s="201"/>
      <c r="VW7" s="201"/>
      <c r="VX7" s="201"/>
      <c r="VY7" s="201"/>
      <c r="VZ7" s="201"/>
      <c r="WA7" s="201"/>
      <c r="WB7" s="201"/>
      <c r="WC7" s="201"/>
      <c r="WD7" s="201"/>
      <c r="WE7" s="201"/>
      <c r="WF7" s="201"/>
      <c r="WG7" s="201"/>
      <c r="WH7" s="201"/>
      <c r="WI7" s="201"/>
      <c r="WJ7" s="201"/>
      <c r="WK7" s="201"/>
      <c r="WL7" s="201"/>
      <c r="WM7" s="201"/>
      <c r="WN7" s="201"/>
      <c r="WO7" s="201"/>
      <c r="WP7" s="201"/>
      <c r="WQ7" s="201"/>
      <c r="WR7" s="201"/>
      <c r="WS7" s="201"/>
      <c r="WT7" s="201"/>
      <c r="WU7" s="201"/>
      <c r="WV7" s="201"/>
      <c r="WW7" s="201"/>
      <c r="WX7" s="201"/>
      <c r="WY7" s="201"/>
      <c r="WZ7" s="201"/>
      <c r="XA7" s="201"/>
      <c r="XB7" s="201"/>
      <c r="XC7" s="201"/>
      <c r="XD7" s="201"/>
      <c r="XE7" s="201"/>
      <c r="XF7" s="201"/>
      <c r="XG7" s="201"/>
      <c r="XH7" s="201"/>
      <c r="XI7" s="201"/>
      <c r="XJ7" s="201"/>
      <c r="XK7" s="201"/>
      <c r="XL7" s="201"/>
      <c r="XM7" s="201"/>
      <c r="XN7" s="201"/>
      <c r="XO7" s="201"/>
      <c r="XP7" s="201"/>
      <c r="XQ7" s="201"/>
      <c r="XR7" s="201"/>
      <c r="XS7" s="201"/>
      <c r="XT7" s="201"/>
      <c r="XU7" s="201"/>
      <c r="XV7" s="201"/>
      <c r="XW7" s="201"/>
      <c r="XX7" s="201"/>
      <c r="XY7" s="201"/>
      <c r="XZ7" s="201"/>
      <c r="YA7" s="201"/>
      <c r="YB7" s="201"/>
      <c r="YC7" s="201"/>
      <c r="YD7" s="201"/>
      <c r="YE7" s="201"/>
      <c r="YF7" s="201"/>
      <c r="YG7" s="201"/>
      <c r="YH7" s="201"/>
      <c r="YI7" s="201"/>
      <c r="YJ7" s="201"/>
      <c r="YK7" s="201"/>
      <c r="YL7" s="201"/>
      <c r="YM7" s="201"/>
      <c r="YN7" s="201"/>
      <c r="YO7" s="201"/>
      <c r="YP7" s="201"/>
      <c r="YQ7" s="201"/>
      <c r="YR7" s="201"/>
      <c r="YS7" s="201"/>
      <c r="YT7" s="201"/>
      <c r="YU7" s="201"/>
      <c r="YV7" s="201"/>
      <c r="YW7" s="201"/>
      <c r="YX7" s="201"/>
      <c r="YY7" s="201"/>
      <c r="YZ7" s="201"/>
      <c r="ZA7" s="201"/>
      <c r="ZB7" s="201"/>
      <c r="ZC7" s="201"/>
      <c r="ZD7" s="201"/>
      <c r="ZE7" s="201"/>
      <c r="ZF7" s="201"/>
      <c r="ZG7" s="201"/>
    </row>
    <row r="8" spans="1:683">
      <c r="A8" s="201"/>
      <c r="B8" s="201"/>
      <c r="C8" s="201"/>
      <c r="D8" s="73"/>
      <c r="E8" s="201"/>
      <c r="F8" s="201"/>
      <c r="G8" s="201"/>
      <c r="H8" s="201"/>
      <c r="I8" s="201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  <c r="AY8" s="197"/>
      <c r="AZ8" s="197"/>
      <c r="BA8" s="197"/>
      <c r="BB8" s="197"/>
      <c r="BC8" s="274"/>
      <c r="BD8" s="274"/>
      <c r="BE8" s="274"/>
      <c r="BF8" s="274"/>
      <c r="BG8" s="274"/>
      <c r="BH8" s="201"/>
      <c r="BI8" s="201"/>
      <c r="BJ8" s="201"/>
      <c r="BK8" s="201"/>
      <c r="BL8" s="201"/>
      <c r="BM8" s="201"/>
      <c r="BN8" s="201"/>
      <c r="BO8" s="201"/>
      <c r="BP8" s="201"/>
      <c r="BQ8" s="201"/>
      <c r="BR8" s="201"/>
      <c r="BS8" s="201"/>
      <c r="BT8" s="201"/>
      <c r="BU8" s="201"/>
      <c r="BV8" s="201"/>
      <c r="BW8" s="201"/>
      <c r="BX8" s="201"/>
      <c r="BY8" s="201"/>
      <c r="BZ8" s="201"/>
      <c r="CA8" s="201"/>
      <c r="CB8" s="201"/>
      <c r="CC8" s="201"/>
      <c r="CD8" s="201"/>
      <c r="CE8" s="201"/>
      <c r="CF8" s="201"/>
      <c r="CG8" s="201"/>
      <c r="CH8" s="201"/>
      <c r="CI8" s="201"/>
      <c r="CJ8" s="201"/>
      <c r="CK8" s="201"/>
      <c r="CL8" s="201"/>
      <c r="CM8" s="201"/>
      <c r="CN8" s="201"/>
      <c r="CO8" s="201"/>
      <c r="CP8" s="201"/>
      <c r="CQ8" s="201"/>
      <c r="CR8" s="201"/>
      <c r="CS8" s="201"/>
      <c r="CT8" s="201"/>
      <c r="CU8" s="201"/>
      <c r="CV8" s="201"/>
      <c r="CW8" s="201"/>
      <c r="CX8" s="201"/>
      <c r="CY8" s="201"/>
      <c r="CZ8" s="201"/>
      <c r="DA8" s="201"/>
      <c r="DB8" s="201"/>
      <c r="DC8" s="201"/>
      <c r="DD8" s="201"/>
      <c r="DE8" s="201"/>
      <c r="DF8" s="201"/>
      <c r="DG8" s="201"/>
      <c r="DH8" s="201"/>
      <c r="DI8" s="201"/>
      <c r="DJ8" s="201"/>
      <c r="DK8" s="201"/>
      <c r="DL8" s="201"/>
      <c r="DM8" s="201"/>
      <c r="DN8" s="201"/>
      <c r="DO8" s="201"/>
      <c r="DP8" s="201"/>
      <c r="DQ8" s="201"/>
      <c r="DR8" s="201"/>
      <c r="DS8" s="201"/>
      <c r="DT8" s="201"/>
      <c r="DU8" s="201"/>
      <c r="DV8" s="201"/>
      <c r="DW8" s="201"/>
      <c r="DX8" s="201"/>
      <c r="DY8" s="201"/>
      <c r="DZ8" s="201"/>
      <c r="EA8" s="201"/>
      <c r="EB8" s="201"/>
      <c r="EC8" s="201"/>
      <c r="ED8" s="201"/>
      <c r="EE8" s="201"/>
      <c r="EF8" s="201"/>
      <c r="EG8" s="201"/>
      <c r="EH8" s="201"/>
      <c r="EI8" s="201"/>
      <c r="EJ8" s="201"/>
      <c r="EK8" s="201"/>
      <c r="EL8" s="201"/>
      <c r="EM8" s="201"/>
      <c r="EN8" s="201"/>
      <c r="EO8" s="201"/>
      <c r="EP8" s="201"/>
      <c r="EQ8" s="201"/>
      <c r="ER8" s="201"/>
      <c r="ES8" s="201"/>
      <c r="ET8" s="201"/>
      <c r="EU8" s="201"/>
      <c r="EV8" s="201"/>
      <c r="EW8" s="201"/>
      <c r="EX8" s="201"/>
      <c r="EY8" s="201"/>
      <c r="EZ8" s="201"/>
      <c r="FA8" s="201"/>
      <c r="FB8" s="201"/>
      <c r="FC8" s="201"/>
      <c r="FD8" s="201"/>
      <c r="FE8" s="201"/>
      <c r="FF8" s="201"/>
      <c r="FG8" s="201"/>
      <c r="FH8" s="201"/>
      <c r="FI8" s="201"/>
      <c r="FJ8" s="201"/>
      <c r="FK8" s="201"/>
      <c r="FL8" s="201"/>
      <c r="FM8" s="201"/>
      <c r="FN8" s="201"/>
      <c r="FO8" s="201"/>
      <c r="FP8" s="201"/>
      <c r="FQ8" s="201"/>
      <c r="FR8" s="201"/>
      <c r="FS8" s="201"/>
      <c r="FT8" s="201"/>
      <c r="FU8" s="201"/>
      <c r="FV8" s="201"/>
      <c r="FW8" s="201"/>
      <c r="FX8" s="201"/>
      <c r="FY8" s="201"/>
      <c r="FZ8" s="201"/>
      <c r="GA8" s="201"/>
      <c r="GB8" s="201"/>
      <c r="GC8" s="201"/>
      <c r="GD8" s="201"/>
      <c r="GE8" s="201"/>
      <c r="GF8" s="201"/>
      <c r="GG8" s="201"/>
      <c r="GH8" s="201"/>
      <c r="GI8" s="201"/>
      <c r="GJ8" s="201"/>
      <c r="GK8" s="201"/>
      <c r="GL8" s="201"/>
      <c r="GM8" s="201"/>
      <c r="GN8" s="201"/>
      <c r="GO8" s="201"/>
      <c r="GP8" s="201"/>
      <c r="GQ8" s="201"/>
      <c r="GR8" s="201"/>
      <c r="GS8" s="201"/>
      <c r="GT8" s="201"/>
      <c r="GU8" s="201"/>
      <c r="GV8" s="201"/>
      <c r="GW8" s="201"/>
      <c r="GX8" s="201"/>
      <c r="GY8" s="201"/>
      <c r="GZ8" s="201"/>
      <c r="HA8" s="201"/>
      <c r="HB8" s="201"/>
      <c r="HC8" s="201"/>
      <c r="HD8" s="201"/>
      <c r="HE8" s="201"/>
      <c r="HF8" s="201"/>
      <c r="HG8" s="201"/>
      <c r="HH8" s="201"/>
      <c r="HI8" s="201"/>
      <c r="HJ8" s="201"/>
      <c r="HK8" s="201"/>
      <c r="HL8" s="201"/>
      <c r="HM8" s="201"/>
      <c r="HN8" s="201"/>
      <c r="HO8" s="201"/>
      <c r="HP8" s="201"/>
      <c r="HQ8" s="201"/>
      <c r="HR8" s="201"/>
      <c r="HS8" s="201"/>
      <c r="HT8" s="201"/>
      <c r="HU8" s="201"/>
      <c r="HV8" s="201"/>
      <c r="HW8" s="201"/>
      <c r="HX8" s="201"/>
      <c r="HY8" s="201"/>
      <c r="HZ8" s="201"/>
      <c r="IA8" s="201"/>
      <c r="IB8" s="201"/>
      <c r="IC8" s="201"/>
      <c r="ID8" s="201"/>
      <c r="IE8" s="201"/>
      <c r="IF8" s="201"/>
      <c r="IG8" s="201"/>
      <c r="IH8" s="201"/>
      <c r="II8" s="201"/>
      <c r="IJ8" s="201"/>
      <c r="IK8" s="201"/>
      <c r="IL8" s="201"/>
      <c r="IM8" s="201"/>
      <c r="IN8" s="201"/>
      <c r="IO8" s="201"/>
      <c r="IP8" s="201"/>
      <c r="IQ8" s="201"/>
      <c r="IR8" s="201"/>
      <c r="IS8" s="201"/>
      <c r="IT8" s="201"/>
      <c r="IU8" s="201"/>
      <c r="IV8" s="201"/>
      <c r="IW8" s="201"/>
      <c r="IX8" s="201"/>
      <c r="IY8" s="201"/>
      <c r="IZ8" s="201"/>
      <c r="JA8" s="201"/>
      <c r="JB8" s="201"/>
      <c r="JC8" s="201"/>
      <c r="JD8" s="201"/>
      <c r="JE8" s="201"/>
      <c r="JF8" s="201"/>
      <c r="JG8" s="201"/>
      <c r="JH8" s="201"/>
      <c r="JI8" s="201"/>
      <c r="JJ8" s="201"/>
      <c r="JK8" s="201"/>
      <c r="JL8" s="201"/>
      <c r="JM8" s="201"/>
      <c r="JN8" s="201"/>
      <c r="JO8" s="201"/>
      <c r="JP8" s="201"/>
      <c r="JQ8" s="201"/>
      <c r="JR8" s="201"/>
      <c r="JS8" s="201"/>
      <c r="JT8" s="201"/>
      <c r="JU8" s="201"/>
      <c r="JV8" s="201"/>
      <c r="JW8" s="201"/>
      <c r="JX8" s="201"/>
      <c r="JY8" s="201"/>
      <c r="JZ8" s="201"/>
      <c r="KA8" s="201"/>
      <c r="KB8" s="201"/>
      <c r="KC8" s="201"/>
      <c r="KD8" s="201"/>
      <c r="KE8" s="201"/>
      <c r="KF8" s="201"/>
      <c r="KG8" s="201"/>
      <c r="KH8" s="201"/>
      <c r="KI8" s="201"/>
      <c r="KJ8" s="201"/>
      <c r="KK8" s="201"/>
      <c r="KL8" s="201"/>
      <c r="KM8" s="201"/>
      <c r="KN8" s="201"/>
      <c r="KO8" s="201"/>
      <c r="KP8" s="201"/>
      <c r="KQ8" s="201"/>
      <c r="KR8" s="201"/>
      <c r="KS8" s="201"/>
      <c r="KT8" s="201"/>
      <c r="KU8" s="201"/>
      <c r="KV8" s="201"/>
      <c r="KW8" s="201"/>
      <c r="KX8" s="201"/>
      <c r="KY8" s="201"/>
      <c r="KZ8" s="201"/>
      <c r="LA8" s="201"/>
      <c r="LB8" s="201"/>
      <c r="LC8" s="201"/>
      <c r="LD8" s="201"/>
      <c r="LE8" s="201"/>
      <c r="LF8" s="201"/>
      <c r="LG8" s="201"/>
      <c r="LH8" s="201"/>
      <c r="LI8" s="201"/>
      <c r="LJ8" s="201"/>
      <c r="LK8" s="201"/>
      <c r="LL8" s="201"/>
      <c r="LM8" s="201"/>
      <c r="LN8" s="201"/>
      <c r="LO8" s="201"/>
      <c r="LP8" s="201"/>
      <c r="LQ8" s="201"/>
      <c r="LR8" s="201"/>
      <c r="LS8" s="201"/>
      <c r="LT8" s="201"/>
      <c r="LU8" s="201"/>
      <c r="LV8" s="201"/>
      <c r="LW8" s="201"/>
      <c r="LX8" s="201"/>
      <c r="LY8" s="201"/>
      <c r="LZ8" s="201"/>
      <c r="MA8" s="201"/>
      <c r="MB8" s="201"/>
      <c r="MC8" s="201"/>
      <c r="MD8" s="201"/>
      <c r="ME8" s="201"/>
      <c r="MF8" s="201"/>
      <c r="MG8" s="201"/>
      <c r="MH8" s="201"/>
      <c r="MI8" s="201"/>
      <c r="MJ8" s="201"/>
      <c r="MK8" s="201"/>
      <c r="ML8" s="201"/>
      <c r="MM8" s="201"/>
      <c r="MN8" s="201"/>
      <c r="MO8" s="201"/>
      <c r="MP8" s="201"/>
      <c r="MQ8" s="201"/>
      <c r="MR8" s="201"/>
      <c r="MS8" s="201"/>
      <c r="MT8" s="201"/>
      <c r="MU8" s="201"/>
      <c r="MV8" s="201"/>
      <c r="MW8" s="201"/>
      <c r="MX8" s="201"/>
      <c r="MY8" s="201"/>
      <c r="MZ8" s="201"/>
      <c r="NA8" s="201"/>
      <c r="NB8" s="201"/>
      <c r="NC8" s="201"/>
      <c r="ND8" s="201"/>
      <c r="NE8" s="201"/>
      <c r="NF8" s="201"/>
      <c r="NG8" s="201"/>
      <c r="NH8" s="201"/>
      <c r="NI8" s="201"/>
      <c r="NJ8" s="201"/>
      <c r="NK8" s="201"/>
      <c r="NL8" s="201"/>
      <c r="NM8" s="201"/>
      <c r="NN8" s="201"/>
      <c r="NO8" s="201"/>
      <c r="NP8" s="201"/>
      <c r="NQ8" s="201"/>
      <c r="NR8" s="201"/>
      <c r="NS8" s="201"/>
      <c r="NT8" s="201"/>
      <c r="NU8" s="201"/>
      <c r="NV8" s="201"/>
      <c r="NW8" s="201"/>
      <c r="NX8" s="201"/>
      <c r="NY8" s="201"/>
      <c r="NZ8" s="201"/>
      <c r="OA8" s="201"/>
      <c r="OB8" s="201"/>
      <c r="OC8" s="201"/>
      <c r="OD8" s="201"/>
      <c r="OE8" s="201"/>
      <c r="OF8" s="201"/>
      <c r="OG8" s="201"/>
      <c r="OH8" s="201"/>
      <c r="OI8" s="201"/>
      <c r="OJ8" s="201"/>
      <c r="OK8" s="201"/>
      <c r="OL8" s="201"/>
      <c r="OM8" s="201"/>
      <c r="ON8" s="201"/>
      <c r="OO8" s="201"/>
      <c r="OP8" s="201"/>
      <c r="OQ8" s="201"/>
      <c r="OR8" s="201"/>
      <c r="OS8" s="201"/>
      <c r="OT8" s="201"/>
      <c r="OU8" s="201"/>
      <c r="OV8" s="201"/>
      <c r="OW8" s="201"/>
      <c r="OX8" s="201"/>
      <c r="OY8" s="201"/>
      <c r="OZ8" s="201"/>
      <c r="PA8" s="201"/>
      <c r="PB8" s="201"/>
      <c r="PC8" s="201"/>
      <c r="PD8" s="201"/>
      <c r="PE8" s="201"/>
      <c r="PF8" s="201"/>
      <c r="PG8" s="201"/>
      <c r="PH8" s="201"/>
      <c r="PI8" s="201"/>
      <c r="PJ8" s="201"/>
      <c r="PK8" s="201"/>
      <c r="PL8" s="201"/>
      <c r="PM8" s="201"/>
      <c r="PN8" s="201"/>
      <c r="PO8" s="201"/>
      <c r="PP8" s="201"/>
      <c r="PQ8" s="201"/>
      <c r="PR8" s="201"/>
      <c r="PS8" s="201"/>
      <c r="PT8" s="201"/>
      <c r="PU8" s="201"/>
      <c r="PV8" s="201"/>
      <c r="PW8" s="201"/>
      <c r="PX8" s="201"/>
      <c r="PY8" s="201"/>
      <c r="PZ8" s="201"/>
      <c r="QA8" s="201"/>
      <c r="QB8" s="201"/>
      <c r="QC8" s="201"/>
      <c r="QD8" s="201"/>
      <c r="QE8" s="201"/>
      <c r="QF8" s="201"/>
      <c r="QG8" s="201"/>
      <c r="QH8" s="201"/>
      <c r="QI8" s="201"/>
      <c r="QJ8" s="201"/>
      <c r="QK8" s="201"/>
      <c r="QL8" s="201"/>
      <c r="QM8" s="201"/>
      <c r="QN8" s="201"/>
      <c r="QO8" s="201"/>
      <c r="QP8" s="201"/>
      <c r="QQ8" s="201"/>
      <c r="QR8" s="201"/>
      <c r="QS8" s="201"/>
      <c r="QT8" s="201"/>
      <c r="QU8" s="201"/>
      <c r="QV8" s="201"/>
      <c r="QW8" s="201"/>
      <c r="QX8" s="201"/>
      <c r="QY8" s="201"/>
      <c r="QZ8" s="201"/>
      <c r="RA8" s="201"/>
      <c r="RB8" s="201"/>
      <c r="RC8" s="201"/>
      <c r="RD8" s="201"/>
      <c r="RE8" s="201"/>
      <c r="RF8" s="201"/>
      <c r="RG8" s="201"/>
      <c r="RH8" s="201"/>
      <c r="RI8" s="201"/>
      <c r="RJ8" s="201"/>
      <c r="RK8" s="201"/>
      <c r="RL8" s="201"/>
      <c r="RM8" s="201"/>
      <c r="RN8" s="201"/>
      <c r="RO8" s="201"/>
      <c r="RP8" s="201"/>
      <c r="RQ8" s="201"/>
      <c r="RR8" s="201"/>
      <c r="RS8" s="201"/>
      <c r="RT8" s="201"/>
      <c r="RU8" s="201"/>
      <c r="RV8" s="201"/>
      <c r="RW8" s="201"/>
      <c r="RX8" s="201"/>
      <c r="RY8" s="201"/>
      <c r="RZ8" s="201"/>
      <c r="SA8" s="201"/>
      <c r="SB8" s="201"/>
      <c r="SC8" s="201"/>
      <c r="SD8" s="201"/>
      <c r="SE8" s="201"/>
      <c r="SF8" s="201"/>
      <c r="SG8" s="201"/>
      <c r="SH8" s="201"/>
      <c r="SI8" s="201"/>
      <c r="SJ8" s="201"/>
      <c r="SK8" s="201"/>
      <c r="SL8" s="201"/>
      <c r="SM8" s="201"/>
      <c r="SN8" s="201"/>
      <c r="SO8" s="201"/>
      <c r="SP8" s="201"/>
      <c r="SQ8" s="201"/>
      <c r="SR8" s="201"/>
      <c r="SS8" s="201"/>
      <c r="ST8" s="201"/>
      <c r="SU8" s="201"/>
      <c r="SV8" s="201"/>
      <c r="SW8" s="201"/>
      <c r="SX8" s="201"/>
      <c r="SY8" s="201"/>
      <c r="SZ8" s="201"/>
      <c r="TA8" s="201"/>
      <c r="TB8" s="201"/>
      <c r="TC8" s="201"/>
      <c r="TD8" s="201"/>
      <c r="TE8" s="201"/>
      <c r="TF8" s="201"/>
      <c r="TG8" s="201"/>
      <c r="TH8" s="201"/>
      <c r="TI8" s="201"/>
      <c r="TJ8" s="201"/>
      <c r="TK8" s="201"/>
      <c r="TL8" s="201"/>
      <c r="TM8" s="201"/>
      <c r="TN8" s="201"/>
      <c r="TO8" s="201"/>
      <c r="TP8" s="201"/>
      <c r="TQ8" s="201"/>
      <c r="TR8" s="201"/>
      <c r="TS8" s="201"/>
      <c r="TT8" s="201"/>
      <c r="TU8" s="201"/>
      <c r="TV8" s="201"/>
      <c r="TW8" s="201"/>
      <c r="TX8" s="201"/>
      <c r="TY8" s="201"/>
      <c r="TZ8" s="201"/>
      <c r="UA8" s="201"/>
      <c r="UB8" s="201"/>
      <c r="UC8" s="201"/>
      <c r="UD8" s="201"/>
      <c r="UE8" s="201"/>
      <c r="UF8" s="201"/>
      <c r="UG8" s="201"/>
      <c r="UH8" s="201"/>
      <c r="UI8" s="201"/>
      <c r="UJ8" s="201"/>
      <c r="UK8" s="201"/>
      <c r="UL8" s="201"/>
      <c r="UM8" s="201"/>
      <c r="UN8" s="201"/>
      <c r="UO8" s="201"/>
      <c r="UP8" s="201"/>
      <c r="UQ8" s="201"/>
      <c r="UR8" s="201"/>
      <c r="US8" s="201"/>
      <c r="UT8" s="201"/>
      <c r="UU8" s="201"/>
      <c r="UV8" s="201"/>
      <c r="UW8" s="201"/>
      <c r="UX8" s="201"/>
      <c r="UY8" s="201"/>
      <c r="UZ8" s="201"/>
      <c r="VA8" s="201"/>
      <c r="VB8" s="201"/>
      <c r="VC8" s="201"/>
      <c r="VD8" s="201"/>
      <c r="VE8" s="201"/>
      <c r="VF8" s="201"/>
      <c r="VG8" s="201"/>
      <c r="VH8" s="201"/>
      <c r="VI8" s="201"/>
      <c r="VJ8" s="201"/>
      <c r="VK8" s="201"/>
      <c r="VL8" s="201"/>
      <c r="VM8" s="201"/>
      <c r="VN8" s="201"/>
      <c r="VO8" s="201"/>
      <c r="VP8" s="201"/>
      <c r="VQ8" s="201"/>
      <c r="VR8" s="201"/>
      <c r="VS8" s="201"/>
      <c r="VT8" s="201"/>
      <c r="VU8" s="201"/>
      <c r="VV8" s="201"/>
      <c r="VW8" s="201"/>
      <c r="VX8" s="201"/>
      <c r="VY8" s="201"/>
      <c r="VZ8" s="201"/>
      <c r="WA8" s="201"/>
      <c r="WB8" s="201"/>
      <c r="WC8" s="201"/>
      <c r="WD8" s="201"/>
      <c r="WE8" s="201"/>
      <c r="WF8" s="201"/>
      <c r="WG8" s="201"/>
      <c r="WH8" s="201"/>
      <c r="WI8" s="201"/>
      <c r="WJ8" s="201"/>
      <c r="WK8" s="201"/>
      <c r="WL8" s="201"/>
      <c r="WM8" s="201"/>
      <c r="WN8" s="201"/>
      <c r="WO8" s="201"/>
      <c r="WP8" s="201"/>
      <c r="WQ8" s="201"/>
      <c r="WR8" s="201"/>
      <c r="WS8" s="201"/>
      <c r="WT8" s="201"/>
      <c r="WU8" s="201"/>
      <c r="WV8" s="201"/>
      <c r="WW8" s="201"/>
      <c r="WX8" s="201"/>
      <c r="WY8" s="201"/>
      <c r="WZ8" s="201"/>
      <c r="XA8" s="201"/>
      <c r="XB8" s="201"/>
      <c r="XC8" s="201"/>
      <c r="XD8" s="201"/>
      <c r="XE8" s="201"/>
      <c r="XF8" s="201"/>
      <c r="XG8" s="201"/>
      <c r="XH8" s="201"/>
      <c r="XI8" s="201"/>
      <c r="XJ8" s="201"/>
      <c r="XK8" s="201"/>
      <c r="XL8" s="201"/>
      <c r="XM8" s="201"/>
      <c r="XN8" s="201"/>
      <c r="XO8" s="201"/>
      <c r="XP8" s="201"/>
      <c r="XQ8" s="201"/>
      <c r="XR8" s="201"/>
      <c r="XS8" s="201"/>
      <c r="XT8" s="201"/>
      <c r="XU8" s="201"/>
      <c r="XV8" s="201"/>
      <c r="XW8" s="201"/>
      <c r="XX8" s="201"/>
      <c r="XY8" s="201"/>
      <c r="XZ8" s="201"/>
      <c r="YA8" s="201"/>
      <c r="YB8" s="201"/>
      <c r="YC8" s="201"/>
      <c r="YD8" s="201"/>
      <c r="YE8" s="201"/>
      <c r="YF8" s="201"/>
      <c r="YG8" s="201"/>
      <c r="YH8" s="201"/>
      <c r="YI8" s="201"/>
      <c r="YJ8" s="201"/>
      <c r="YK8" s="201"/>
      <c r="YL8" s="201"/>
      <c r="YM8" s="201"/>
      <c r="YN8" s="201"/>
      <c r="YO8" s="201"/>
      <c r="YP8" s="201"/>
      <c r="YQ8" s="201"/>
      <c r="YR8" s="201"/>
      <c r="YS8" s="201"/>
      <c r="YT8" s="201"/>
      <c r="YU8" s="201"/>
      <c r="YV8" s="201"/>
      <c r="YW8" s="201"/>
      <c r="YX8" s="201"/>
      <c r="YY8" s="201"/>
      <c r="YZ8" s="201"/>
      <c r="ZA8" s="201"/>
      <c r="ZB8" s="201"/>
      <c r="ZC8" s="201"/>
      <c r="ZD8" s="201"/>
      <c r="ZE8" s="201"/>
      <c r="ZF8" s="201"/>
      <c r="ZG8" s="201"/>
    </row>
    <row r="9" spans="1:683">
      <c r="A9" s="201"/>
      <c r="B9" s="201"/>
      <c r="C9" s="201"/>
      <c r="D9" s="73"/>
      <c r="E9" s="201"/>
      <c r="F9" s="201"/>
      <c r="G9" s="201"/>
      <c r="H9" s="201"/>
      <c r="I9" s="201"/>
      <c r="J9" s="311" t="s">
        <v>567</v>
      </c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  <c r="Z9" s="311"/>
      <c r="AA9" s="311"/>
      <c r="AB9" s="311"/>
      <c r="AC9" s="311"/>
      <c r="AD9" s="311"/>
      <c r="AE9" s="311"/>
      <c r="AF9" s="311"/>
      <c r="AG9" s="311"/>
      <c r="AH9" s="311"/>
      <c r="AI9" s="311"/>
      <c r="AJ9" s="311"/>
      <c r="AK9" s="274"/>
      <c r="AL9" s="274"/>
      <c r="AM9" s="274"/>
      <c r="AN9" s="274"/>
      <c r="AO9" s="274"/>
      <c r="AP9" s="274"/>
      <c r="AQ9" s="274"/>
      <c r="AR9" s="274"/>
      <c r="AS9" s="274"/>
      <c r="AT9" s="274"/>
      <c r="AU9" s="274"/>
      <c r="AV9" s="274"/>
      <c r="AW9" s="274"/>
      <c r="AX9" s="274"/>
      <c r="AY9" s="274"/>
      <c r="AZ9" s="274"/>
      <c r="BA9" s="274"/>
      <c r="BB9" s="274"/>
      <c r="BC9" s="274"/>
      <c r="BD9" s="274"/>
      <c r="BE9" s="274"/>
      <c r="BF9" s="274"/>
      <c r="BG9" s="274"/>
      <c r="BH9" s="201"/>
      <c r="BI9" s="201"/>
      <c r="BJ9" s="201"/>
      <c r="BK9" s="201"/>
      <c r="BL9" s="201"/>
      <c r="BM9" s="201"/>
      <c r="BN9" s="201"/>
      <c r="BO9" s="201"/>
      <c r="BP9" s="201"/>
      <c r="BQ9" s="201"/>
      <c r="BR9" s="201"/>
      <c r="BS9" s="201"/>
      <c r="BT9" s="201"/>
      <c r="BU9" s="201"/>
      <c r="BV9" s="201"/>
      <c r="BW9" s="201"/>
      <c r="BX9" s="201"/>
      <c r="BY9" s="201"/>
      <c r="BZ9" s="201"/>
      <c r="CA9" s="201"/>
      <c r="CB9" s="201"/>
      <c r="CC9" s="201"/>
      <c r="CD9" s="201"/>
      <c r="CE9" s="201"/>
      <c r="CF9" s="201"/>
      <c r="CG9" s="201"/>
      <c r="CH9" s="201"/>
      <c r="CI9" s="201"/>
      <c r="CJ9" s="201"/>
      <c r="CK9" s="201"/>
      <c r="CL9" s="201"/>
      <c r="CM9" s="201"/>
      <c r="CN9" s="201"/>
      <c r="CO9" s="201"/>
      <c r="CP9" s="201"/>
      <c r="CQ9" s="201"/>
      <c r="CR9" s="201"/>
      <c r="CS9" s="201"/>
      <c r="CT9" s="201"/>
      <c r="CU9" s="201"/>
      <c r="CV9" s="201"/>
      <c r="CW9" s="201"/>
      <c r="CX9" s="201"/>
      <c r="CY9" s="201"/>
      <c r="CZ9" s="201"/>
      <c r="DA9" s="201"/>
      <c r="DB9" s="201"/>
      <c r="DC9" s="201"/>
      <c r="DD9" s="201"/>
      <c r="DE9" s="201"/>
      <c r="DF9" s="201"/>
      <c r="DG9" s="201"/>
      <c r="DH9" s="201"/>
      <c r="DI9" s="201"/>
      <c r="DJ9" s="201"/>
      <c r="DK9" s="201"/>
      <c r="DL9" s="201"/>
      <c r="DM9" s="201"/>
      <c r="DN9" s="201"/>
      <c r="DO9" s="201"/>
      <c r="DP9" s="201"/>
      <c r="DQ9" s="201"/>
      <c r="DR9" s="201"/>
      <c r="DS9" s="201"/>
      <c r="DT9" s="201"/>
      <c r="DU9" s="201"/>
      <c r="DV9" s="201"/>
      <c r="DW9" s="201"/>
      <c r="DX9" s="201"/>
      <c r="DY9" s="201"/>
      <c r="DZ9" s="201"/>
      <c r="EA9" s="201"/>
      <c r="EB9" s="201"/>
      <c r="EC9" s="201"/>
      <c r="ED9" s="201"/>
      <c r="EE9" s="201"/>
      <c r="EF9" s="201"/>
      <c r="EG9" s="201"/>
      <c r="EH9" s="201"/>
      <c r="EI9" s="201"/>
      <c r="EJ9" s="201"/>
      <c r="EK9" s="201"/>
      <c r="EL9" s="201"/>
      <c r="EM9" s="201"/>
      <c r="EN9" s="201"/>
      <c r="EO9" s="201"/>
      <c r="EP9" s="201"/>
      <c r="EQ9" s="201"/>
      <c r="ER9" s="201"/>
      <c r="ES9" s="201"/>
      <c r="ET9" s="201"/>
      <c r="EU9" s="201"/>
      <c r="EV9" s="201"/>
      <c r="EW9" s="201"/>
      <c r="EX9" s="201"/>
      <c r="EY9" s="201"/>
      <c r="EZ9" s="201"/>
      <c r="FA9" s="201"/>
      <c r="FB9" s="201"/>
      <c r="FC9" s="201"/>
      <c r="FD9" s="201"/>
      <c r="FE9" s="201"/>
      <c r="FF9" s="201"/>
      <c r="FG9" s="201"/>
      <c r="FH9" s="201"/>
      <c r="FI9" s="201"/>
      <c r="FJ9" s="201"/>
      <c r="FK9" s="201"/>
      <c r="FL9" s="201"/>
      <c r="FM9" s="201"/>
      <c r="FN9" s="201"/>
      <c r="FO9" s="201"/>
      <c r="FP9" s="201"/>
      <c r="FQ9" s="201"/>
      <c r="FR9" s="201"/>
      <c r="FS9" s="201"/>
      <c r="FT9" s="201"/>
      <c r="FU9" s="201"/>
      <c r="FV9" s="201"/>
      <c r="FW9" s="201"/>
      <c r="FX9" s="201"/>
      <c r="FY9" s="201"/>
      <c r="FZ9" s="201"/>
      <c r="GA9" s="201"/>
      <c r="GB9" s="201"/>
      <c r="GC9" s="201"/>
      <c r="GD9" s="201"/>
      <c r="GE9" s="201"/>
      <c r="GF9" s="201"/>
      <c r="GG9" s="201"/>
      <c r="GH9" s="201"/>
      <c r="GI9" s="201"/>
      <c r="GJ9" s="201"/>
      <c r="GK9" s="201"/>
      <c r="GL9" s="201"/>
      <c r="GM9" s="201"/>
      <c r="GN9" s="201"/>
      <c r="GO9" s="201"/>
      <c r="GP9" s="201"/>
      <c r="GQ9" s="201"/>
      <c r="GR9" s="201"/>
      <c r="GS9" s="201"/>
      <c r="GT9" s="201"/>
      <c r="GU9" s="201"/>
      <c r="GV9" s="201"/>
      <c r="GW9" s="201"/>
      <c r="GX9" s="201"/>
      <c r="GY9" s="201"/>
      <c r="GZ9" s="201"/>
      <c r="HA9" s="201"/>
      <c r="HB9" s="201"/>
      <c r="HC9" s="201"/>
      <c r="HD9" s="201"/>
      <c r="HE9" s="201"/>
      <c r="HF9" s="201"/>
      <c r="HG9" s="201"/>
      <c r="HH9" s="201"/>
      <c r="HI9" s="201"/>
      <c r="HJ9" s="201"/>
      <c r="HK9" s="201"/>
      <c r="HL9" s="201"/>
      <c r="HM9" s="201"/>
      <c r="HN9" s="201"/>
      <c r="HO9" s="201"/>
      <c r="HP9" s="201"/>
      <c r="HQ9" s="201"/>
      <c r="HR9" s="201"/>
      <c r="HS9" s="201"/>
      <c r="HT9" s="201"/>
      <c r="HU9" s="201"/>
      <c r="HV9" s="201"/>
      <c r="HW9" s="201"/>
      <c r="HX9" s="201"/>
      <c r="HY9" s="201"/>
      <c r="HZ9" s="201"/>
      <c r="IA9" s="201"/>
      <c r="IB9" s="201"/>
      <c r="IC9" s="201"/>
      <c r="ID9" s="201"/>
      <c r="IE9" s="201"/>
      <c r="IF9" s="201"/>
      <c r="IG9" s="201"/>
      <c r="IH9" s="201"/>
      <c r="II9" s="201"/>
      <c r="IJ9" s="201"/>
      <c r="IK9" s="201"/>
      <c r="IL9" s="201"/>
      <c r="IM9" s="201"/>
      <c r="IN9" s="201"/>
      <c r="IO9" s="201"/>
      <c r="IP9" s="201"/>
      <c r="IQ9" s="201"/>
      <c r="IR9" s="201"/>
      <c r="IS9" s="201"/>
      <c r="IT9" s="201"/>
      <c r="IU9" s="201"/>
      <c r="IV9" s="201"/>
      <c r="IW9" s="201"/>
      <c r="IX9" s="201"/>
      <c r="IY9" s="201"/>
      <c r="IZ9" s="201"/>
      <c r="JA9" s="201"/>
      <c r="JB9" s="201"/>
      <c r="JC9" s="201"/>
      <c r="JD9" s="201"/>
      <c r="JE9" s="201"/>
      <c r="JF9" s="201"/>
      <c r="JG9" s="201"/>
      <c r="JH9" s="201"/>
      <c r="JI9" s="201"/>
      <c r="JJ9" s="201"/>
      <c r="JK9" s="201"/>
      <c r="JL9" s="201"/>
      <c r="JM9" s="201"/>
      <c r="JN9" s="201"/>
      <c r="JO9" s="201"/>
      <c r="JP9" s="201"/>
      <c r="JQ9" s="201"/>
      <c r="JR9" s="201"/>
      <c r="JS9" s="201"/>
      <c r="JT9" s="201"/>
      <c r="JU9" s="201"/>
      <c r="JV9" s="201"/>
      <c r="JW9" s="201"/>
      <c r="JX9" s="201"/>
      <c r="JY9" s="201"/>
      <c r="JZ9" s="201"/>
      <c r="KA9" s="201"/>
      <c r="KB9" s="201"/>
      <c r="KC9" s="201"/>
      <c r="KD9" s="201"/>
      <c r="KE9" s="201"/>
      <c r="KF9" s="201"/>
      <c r="KG9" s="201"/>
      <c r="KH9" s="201"/>
      <c r="KI9" s="201"/>
      <c r="KJ9" s="201"/>
      <c r="KK9" s="201"/>
      <c r="KL9" s="201"/>
      <c r="KM9" s="201"/>
      <c r="KN9" s="201"/>
      <c r="KO9" s="201"/>
      <c r="KP9" s="201"/>
      <c r="KQ9" s="201"/>
      <c r="KR9" s="201"/>
      <c r="KS9" s="201"/>
      <c r="KT9" s="201"/>
      <c r="KU9" s="201"/>
      <c r="KV9" s="201"/>
      <c r="KW9" s="201"/>
      <c r="KX9" s="201"/>
      <c r="KY9" s="201"/>
      <c r="KZ9" s="201"/>
      <c r="LA9" s="201"/>
      <c r="LB9" s="201"/>
      <c r="LC9" s="201"/>
      <c r="LD9" s="201"/>
      <c r="LE9" s="201"/>
      <c r="LF9" s="201"/>
      <c r="LG9" s="201"/>
      <c r="LH9" s="201"/>
      <c r="LI9" s="201"/>
      <c r="LJ9" s="201"/>
      <c r="LK9" s="201"/>
      <c r="LL9" s="201"/>
      <c r="LM9" s="201"/>
      <c r="LN9" s="201"/>
      <c r="LO9" s="201"/>
      <c r="LP9" s="201"/>
      <c r="LQ9" s="201"/>
      <c r="LR9" s="201"/>
      <c r="LS9" s="201"/>
      <c r="LT9" s="201"/>
      <c r="LU9" s="201"/>
      <c r="LV9" s="201"/>
      <c r="LW9" s="201"/>
      <c r="LX9" s="201"/>
      <c r="LY9" s="201"/>
      <c r="LZ9" s="201"/>
      <c r="MA9" s="201"/>
      <c r="MB9" s="201"/>
      <c r="MC9" s="201"/>
      <c r="MD9" s="201"/>
      <c r="ME9" s="201"/>
      <c r="MF9" s="201"/>
      <c r="MG9" s="201"/>
      <c r="MH9" s="201"/>
      <c r="MI9" s="201"/>
      <c r="MJ9" s="201"/>
      <c r="MK9" s="201"/>
      <c r="ML9" s="201"/>
      <c r="MM9" s="201"/>
      <c r="MN9" s="201"/>
      <c r="MO9" s="201"/>
      <c r="MP9" s="201"/>
      <c r="MQ9" s="201"/>
      <c r="MR9" s="201"/>
      <c r="MS9" s="201"/>
      <c r="MT9" s="201"/>
      <c r="MU9" s="201"/>
      <c r="MV9" s="201"/>
      <c r="MW9" s="201"/>
      <c r="MX9" s="201"/>
      <c r="MY9" s="201"/>
      <c r="MZ9" s="201"/>
      <c r="NA9" s="201"/>
      <c r="NB9" s="201"/>
      <c r="NC9" s="201"/>
      <c r="ND9" s="201"/>
      <c r="NE9" s="201"/>
      <c r="NF9" s="201"/>
      <c r="NG9" s="201"/>
      <c r="NH9" s="201"/>
      <c r="NI9" s="201"/>
      <c r="NJ9" s="201"/>
      <c r="NK9" s="201"/>
      <c r="NL9" s="201"/>
      <c r="NM9" s="201"/>
      <c r="NN9" s="201"/>
      <c r="NO9" s="201"/>
      <c r="NP9" s="201"/>
      <c r="NQ9" s="201"/>
      <c r="NR9" s="201"/>
      <c r="NS9" s="201"/>
      <c r="NT9" s="201"/>
      <c r="NU9" s="201"/>
      <c r="NV9" s="201"/>
      <c r="NW9" s="201"/>
      <c r="NX9" s="201"/>
      <c r="NY9" s="201"/>
      <c r="NZ9" s="201"/>
      <c r="OA9" s="201"/>
      <c r="OB9" s="201"/>
      <c r="OC9" s="201"/>
      <c r="OD9" s="201"/>
      <c r="OE9" s="201"/>
      <c r="OF9" s="201"/>
      <c r="OG9" s="201"/>
      <c r="OH9" s="201"/>
      <c r="OI9" s="201"/>
      <c r="OJ9" s="201"/>
      <c r="OK9" s="201"/>
      <c r="OL9" s="201"/>
      <c r="OM9" s="201"/>
      <c r="ON9" s="201"/>
      <c r="OO9" s="201"/>
      <c r="OP9" s="201"/>
      <c r="OQ9" s="201"/>
      <c r="OR9" s="201"/>
      <c r="OS9" s="201"/>
      <c r="OT9" s="201"/>
      <c r="OU9" s="201"/>
      <c r="OV9" s="201"/>
      <c r="OW9" s="201"/>
      <c r="OX9" s="201"/>
      <c r="OY9" s="201"/>
      <c r="OZ9" s="201"/>
      <c r="PA9" s="201"/>
      <c r="PB9" s="201"/>
      <c r="PC9" s="201"/>
      <c r="PD9" s="201"/>
      <c r="PE9" s="201"/>
      <c r="PF9" s="201"/>
      <c r="PG9" s="201"/>
      <c r="PH9" s="201"/>
      <c r="PI9" s="201"/>
      <c r="PJ9" s="201"/>
      <c r="PK9" s="201"/>
      <c r="PL9" s="201"/>
      <c r="PM9" s="201"/>
      <c r="PN9" s="201"/>
      <c r="PO9" s="201"/>
      <c r="PP9" s="201"/>
      <c r="PQ9" s="201"/>
      <c r="PR9" s="201"/>
      <c r="PS9" s="201"/>
      <c r="PT9" s="201"/>
      <c r="PU9" s="201"/>
      <c r="PV9" s="201"/>
      <c r="PW9" s="201"/>
      <c r="PX9" s="201"/>
      <c r="PY9" s="201"/>
      <c r="PZ9" s="201"/>
      <c r="QA9" s="201"/>
      <c r="QB9" s="201"/>
      <c r="QC9" s="201"/>
      <c r="QD9" s="201"/>
      <c r="QE9" s="201"/>
      <c r="QF9" s="201"/>
      <c r="QG9" s="201"/>
      <c r="QH9" s="201"/>
      <c r="QI9" s="201"/>
      <c r="QJ9" s="201"/>
      <c r="QK9" s="201"/>
      <c r="QL9" s="201"/>
      <c r="QM9" s="201"/>
      <c r="QN9" s="201"/>
      <c r="QO9" s="201"/>
      <c r="QP9" s="201"/>
      <c r="QQ9" s="201"/>
      <c r="QR9" s="201"/>
      <c r="QS9" s="201"/>
      <c r="QT9" s="201"/>
      <c r="QU9" s="201"/>
      <c r="QV9" s="201"/>
      <c r="QW9" s="201"/>
      <c r="QX9" s="201"/>
      <c r="QY9" s="201"/>
      <c r="QZ9" s="201"/>
      <c r="RA9" s="201"/>
      <c r="RB9" s="201"/>
      <c r="RC9" s="201"/>
      <c r="RD9" s="201"/>
      <c r="RE9" s="201"/>
      <c r="RF9" s="201"/>
      <c r="RG9" s="201"/>
      <c r="RH9" s="201"/>
      <c r="RI9" s="201"/>
      <c r="RJ9" s="201"/>
      <c r="RK9" s="201"/>
      <c r="RL9" s="201"/>
      <c r="RM9" s="201"/>
      <c r="RN9" s="201"/>
      <c r="RO9" s="201"/>
      <c r="RP9" s="201"/>
      <c r="RQ9" s="201"/>
      <c r="RR9" s="201"/>
      <c r="RS9" s="201"/>
      <c r="RT9" s="201"/>
      <c r="RU9" s="201"/>
      <c r="RV9" s="201"/>
      <c r="RW9" s="201"/>
      <c r="RX9" s="201"/>
      <c r="RY9" s="201"/>
      <c r="RZ9" s="201"/>
      <c r="SA9" s="201"/>
      <c r="SB9" s="201"/>
      <c r="SC9" s="201"/>
      <c r="SD9" s="201"/>
      <c r="SE9" s="201"/>
      <c r="SF9" s="201"/>
      <c r="SG9" s="201"/>
      <c r="SH9" s="201"/>
      <c r="SI9" s="201"/>
      <c r="SJ9" s="201"/>
      <c r="SK9" s="201"/>
      <c r="SL9" s="201"/>
      <c r="SM9" s="201"/>
      <c r="SN9" s="201"/>
      <c r="SO9" s="201"/>
      <c r="SP9" s="201"/>
      <c r="SQ9" s="201"/>
      <c r="SR9" s="201"/>
      <c r="SS9" s="201"/>
      <c r="ST9" s="201"/>
      <c r="SU9" s="201"/>
      <c r="SV9" s="201"/>
      <c r="SW9" s="201"/>
      <c r="SX9" s="201"/>
      <c r="SY9" s="201"/>
      <c r="SZ9" s="201"/>
      <c r="TA9" s="201"/>
      <c r="TB9" s="201"/>
      <c r="TC9" s="201"/>
      <c r="TD9" s="201"/>
      <c r="TE9" s="201"/>
      <c r="TF9" s="201"/>
      <c r="TG9" s="201"/>
      <c r="TH9" s="201"/>
      <c r="TI9" s="201"/>
      <c r="TJ9" s="201"/>
      <c r="TK9" s="201"/>
      <c r="TL9" s="201"/>
      <c r="TM9" s="201"/>
      <c r="TN9" s="201"/>
      <c r="TO9" s="201"/>
      <c r="TP9" s="201"/>
      <c r="TQ9" s="201"/>
      <c r="TR9" s="201"/>
      <c r="TS9" s="201"/>
      <c r="TT9" s="201"/>
      <c r="TU9" s="201"/>
      <c r="TV9" s="201"/>
      <c r="TW9" s="201"/>
      <c r="TX9" s="201"/>
      <c r="TY9" s="201"/>
      <c r="TZ9" s="201"/>
      <c r="UA9" s="201"/>
      <c r="UB9" s="201"/>
      <c r="UC9" s="201"/>
      <c r="UD9" s="201"/>
      <c r="UE9" s="201"/>
      <c r="UF9" s="201"/>
      <c r="UG9" s="201"/>
      <c r="UH9" s="201"/>
      <c r="UI9" s="201"/>
      <c r="UJ9" s="201"/>
      <c r="UK9" s="201"/>
      <c r="UL9" s="201"/>
      <c r="UM9" s="201"/>
      <c r="UN9" s="201"/>
      <c r="UO9" s="201"/>
      <c r="UP9" s="201"/>
      <c r="UQ9" s="201"/>
      <c r="UR9" s="201"/>
      <c r="US9" s="201"/>
      <c r="UT9" s="201"/>
      <c r="UU9" s="201"/>
      <c r="UV9" s="201"/>
      <c r="UW9" s="201"/>
      <c r="UX9" s="201"/>
      <c r="UY9" s="201"/>
      <c r="UZ9" s="201"/>
      <c r="VA9" s="201"/>
      <c r="VB9" s="201"/>
      <c r="VC9" s="201"/>
      <c r="VD9" s="201"/>
      <c r="VE9" s="201"/>
      <c r="VF9" s="201"/>
      <c r="VG9" s="201"/>
      <c r="VH9" s="201"/>
      <c r="VI9" s="201"/>
      <c r="VJ9" s="201"/>
      <c r="VK9" s="201"/>
      <c r="VL9" s="201"/>
      <c r="VM9" s="201"/>
      <c r="VN9" s="201"/>
      <c r="VO9" s="201"/>
      <c r="VP9" s="201"/>
      <c r="VQ9" s="201"/>
      <c r="VR9" s="201"/>
      <c r="VS9" s="201"/>
      <c r="VT9" s="201"/>
      <c r="VU9" s="201"/>
      <c r="VV9" s="201"/>
      <c r="VW9" s="201"/>
      <c r="VX9" s="201"/>
      <c r="VY9" s="201"/>
      <c r="VZ9" s="201"/>
      <c r="WA9" s="201"/>
      <c r="WB9" s="201"/>
      <c r="WC9" s="201"/>
      <c r="WD9" s="201"/>
      <c r="WE9" s="201"/>
      <c r="WF9" s="201"/>
      <c r="WG9" s="201"/>
      <c r="WH9" s="201"/>
      <c r="WI9" s="201"/>
      <c r="WJ9" s="201"/>
      <c r="WK9" s="201"/>
      <c r="WL9" s="201"/>
      <c r="WM9" s="201"/>
      <c r="WN9" s="201"/>
      <c r="WO9" s="201"/>
      <c r="WP9" s="201"/>
      <c r="WQ9" s="201"/>
      <c r="WR9" s="201"/>
      <c r="WS9" s="201"/>
      <c r="WT9" s="201"/>
      <c r="WU9" s="201"/>
      <c r="WV9" s="201"/>
      <c r="WW9" s="201"/>
      <c r="WX9" s="201"/>
      <c r="WY9" s="201"/>
      <c r="WZ9" s="201"/>
      <c r="XA9" s="201"/>
      <c r="XB9" s="201"/>
      <c r="XC9" s="201"/>
      <c r="XD9" s="201"/>
      <c r="XE9" s="201"/>
      <c r="XF9" s="201"/>
      <c r="XG9" s="201"/>
      <c r="XH9" s="201"/>
      <c r="XI9" s="201"/>
      <c r="XJ9" s="201"/>
      <c r="XK9" s="201"/>
      <c r="XL9" s="201"/>
      <c r="XM9" s="201"/>
      <c r="XN9" s="201"/>
      <c r="XO9" s="201"/>
      <c r="XP9" s="201"/>
      <c r="XQ9" s="201"/>
      <c r="XR9" s="201"/>
      <c r="XS9" s="201"/>
      <c r="XT9" s="201"/>
      <c r="XU9" s="201"/>
      <c r="XV9" s="201"/>
      <c r="XW9" s="201"/>
      <c r="XX9" s="201"/>
      <c r="XY9" s="201"/>
      <c r="XZ9" s="201"/>
      <c r="YA9" s="201"/>
      <c r="YB9" s="201"/>
      <c r="YC9" s="201"/>
      <c r="YD9" s="201"/>
      <c r="YE9" s="201"/>
      <c r="YF9" s="201"/>
      <c r="YG9" s="201"/>
      <c r="YH9" s="201"/>
      <c r="YI9" s="201"/>
      <c r="YJ9" s="201"/>
      <c r="YK9" s="201"/>
      <c r="YL9" s="201"/>
      <c r="YM9" s="201"/>
      <c r="YN9" s="201"/>
      <c r="YO9" s="201"/>
      <c r="YP9" s="201"/>
      <c r="YQ9" s="201"/>
      <c r="YR9" s="201"/>
      <c r="YS9" s="201"/>
      <c r="YT9" s="201"/>
      <c r="YU9" s="201"/>
      <c r="YV9" s="201"/>
      <c r="YW9" s="201"/>
      <c r="YX9" s="201"/>
      <c r="YY9" s="201"/>
      <c r="YZ9" s="201"/>
      <c r="ZA9" s="201"/>
      <c r="ZB9" s="201"/>
      <c r="ZC9" s="201"/>
      <c r="ZD9" s="201"/>
      <c r="ZE9" s="201"/>
      <c r="ZF9" s="201"/>
      <c r="ZG9" s="201"/>
    </row>
    <row r="10" spans="1:683">
      <c r="A10" s="201"/>
      <c r="B10" s="201"/>
      <c r="C10" s="201"/>
      <c r="D10" s="73"/>
      <c r="E10" s="201"/>
      <c r="F10" s="201"/>
      <c r="G10" s="201"/>
      <c r="H10" s="201"/>
      <c r="I10" s="201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  <c r="AZ10" s="197"/>
      <c r="BA10" s="197"/>
      <c r="BB10" s="197"/>
      <c r="BC10" s="274"/>
      <c r="BD10" s="274"/>
      <c r="BE10" s="274"/>
      <c r="BF10" s="274"/>
      <c r="BG10" s="274"/>
      <c r="BH10" s="201"/>
      <c r="BI10" s="201"/>
      <c r="BJ10" s="201"/>
      <c r="BK10" s="201"/>
      <c r="BL10" s="201"/>
      <c r="BM10" s="201"/>
      <c r="BN10" s="201"/>
      <c r="BO10" s="201"/>
      <c r="BP10" s="201"/>
      <c r="BQ10" s="201"/>
      <c r="BR10" s="201"/>
      <c r="BS10" s="201"/>
      <c r="BT10" s="201"/>
      <c r="BU10" s="201"/>
      <c r="BV10" s="201"/>
      <c r="BW10" s="201"/>
      <c r="BX10" s="201"/>
      <c r="BY10" s="201"/>
      <c r="BZ10" s="201"/>
      <c r="CA10" s="201"/>
      <c r="CB10" s="201"/>
      <c r="CC10" s="201"/>
      <c r="CD10" s="201"/>
      <c r="CE10" s="201"/>
      <c r="CF10" s="201"/>
      <c r="CG10" s="201"/>
      <c r="CH10" s="201"/>
      <c r="CI10" s="201"/>
      <c r="CJ10" s="201"/>
      <c r="CK10" s="201"/>
      <c r="CL10" s="201"/>
      <c r="CM10" s="201"/>
      <c r="CN10" s="201"/>
      <c r="CO10" s="201"/>
      <c r="CP10" s="201"/>
      <c r="CQ10" s="201"/>
      <c r="CR10" s="201"/>
      <c r="CS10" s="201"/>
      <c r="CT10" s="201"/>
      <c r="CU10" s="201"/>
      <c r="CV10" s="201"/>
      <c r="CW10" s="201"/>
      <c r="CX10" s="201"/>
      <c r="CY10" s="201"/>
      <c r="CZ10" s="201"/>
      <c r="DA10" s="201"/>
      <c r="DB10" s="201"/>
      <c r="DC10" s="201"/>
      <c r="DD10" s="201"/>
      <c r="DE10" s="201"/>
      <c r="DF10" s="201"/>
      <c r="DG10" s="201"/>
      <c r="DH10" s="201"/>
      <c r="DI10" s="201"/>
      <c r="DJ10" s="201"/>
      <c r="DK10" s="201"/>
      <c r="DL10" s="201"/>
      <c r="DM10" s="201"/>
      <c r="DN10" s="201"/>
      <c r="DO10" s="201"/>
      <c r="DP10" s="201"/>
      <c r="DQ10" s="201"/>
      <c r="DR10" s="201"/>
      <c r="DS10" s="201"/>
      <c r="DT10" s="201"/>
      <c r="DU10" s="201"/>
      <c r="DV10" s="201"/>
      <c r="DW10" s="201"/>
      <c r="DX10" s="201"/>
      <c r="DY10" s="201"/>
      <c r="DZ10" s="201"/>
      <c r="EA10" s="201"/>
      <c r="EB10" s="201"/>
      <c r="EC10" s="201"/>
      <c r="ED10" s="201"/>
      <c r="EE10" s="201"/>
      <c r="EF10" s="201"/>
      <c r="EG10" s="201"/>
      <c r="EH10" s="201"/>
      <c r="EI10" s="201"/>
      <c r="EJ10" s="201"/>
      <c r="EK10" s="201"/>
      <c r="EL10" s="201"/>
      <c r="EM10" s="201"/>
      <c r="EN10" s="201"/>
      <c r="EO10" s="201"/>
      <c r="EP10" s="201"/>
      <c r="EQ10" s="201"/>
      <c r="ER10" s="201"/>
      <c r="ES10" s="201"/>
      <c r="ET10" s="201"/>
      <c r="EU10" s="201"/>
      <c r="EV10" s="201"/>
      <c r="EW10" s="201"/>
      <c r="EX10" s="201"/>
      <c r="EY10" s="201"/>
      <c r="EZ10" s="201"/>
      <c r="FA10" s="201"/>
      <c r="FB10" s="201"/>
      <c r="FC10" s="201"/>
      <c r="FD10" s="201"/>
      <c r="FE10" s="201"/>
      <c r="FF10" s="201"/>
      <c r="FG10" s="201"/>
      <c r="FH10" s="201"/>
      <c r="FI10" s="201"/>
      <c r="FJ10" s="201"/>
      <c r="FK10" s="201"/>
      <c r="FL10" s="201"/>
      <c r="FM10" s="201"/>
      <c r="FN10" s="201"/>
      <c r="FO10" s="201"/>
      <c r="FP10" s="201"/>
      <c r="FQ10" s="201"/>
      <c r="FR10" s="201"/>
      <c r="FS10" s="201"/>
      <c r="FT10" s="201"/>
      <c r="FU10" s="201"/>
      <c r="FV10" s="201"/>
      <c r="FW10" s="201"/>
      <c r="FX10" s="201"/>
      <c r="FY10" s="201"/>
      <c r="FZ10" s="201"/>
      <c r="GA10" s="201"/>
      <c r="GB10" s="201"/>
      <c r="GC10" s="201"/>
      <c r="GD10" s="201"/>
      <c r="GE10" s="201"/>
      <c r="GF10" s="201"/>
      <c r="GG10" s="201"/>
      <c r="GH10" s="201"/>
      <c r="GI10" s="201"/>
      <c r="GJ10" s="201"/>
      <c r="GK10" s="201"/>
      <c r="GL10" s="201"/>
      <c r="GM10" s="201"/>
      <c r="GN10" s="201"/>
      <c r="GO10" s="201"/>
      <c r="GP10" s="201"/>
      <c r="GQ10" s="201"/>
      <c r="GR10" s="201"/>
      <c r="GS10" s="201"/>
      <c r="GT10" s="201"/>
      <c r="GU10" s="201"/>
      <c r="GV10" s="201"/>
      <c r="GW10" s="201"/>
      <c r="GX10" s="201"/>
      <c r="GY10" s="201"/>
      <c r="GZ10" s="201"/>
      <c r="HA10" s="201"/>
      <c r="HB10" s="201"/>
      <c r="HC10" s="201"/>
      <c r="HD10" s="201"/>
      <c r="HE10" s="201"/>
      <c r="HF10" s="201"/>
      <c r="HG10" s="201"/>
      <c r="HH10" s="201"/>
      <c r="HI10" s="201"/>
      <c r="HJ10" s="201"/>
      <c r="HK10" s="201"/>
      <c r="HL10" s="201"/>
      <c r="HM10" s="201"/>
      <c r="HN10" s="201"/>
      <c r="HO10" s="201"/>
      <c r="HP10" s="201"/>
      <c r="HQ10" s="201"/>
      <c r="HR10" s="201"/>
      <c r="HS10" s="201"/>
      <c r="HT10" s="201"/>
      <c r="HU10" s="201"/>
      <c r="HV10" s="201"/>
      <c r="HW10" s="201"/>
      <c r="HX10" s="201"/>
      <c r="HY10" s="201"/>
      <c r="HZ10" s="201"/>
      <c r="IA10" s="201"/>
      <c r="IB10" s="201"/>
      <c r="IC10" s="201"/>
      <c r="ID10" s="201"/>
      <c r="IE10" s="201"/>
      <c r="IF10" s="201"/>
      <c r="IG10" s="201"/>
      <c r="IH10" s="201"/>
      <c r="II10" s="201"/>
      <c r="IJ10" s="201"/>
      <c r="IK10" s="201"/>
      <c r="IL10" s="201"/>
      <c r="IM10" s="201"/>
      <c r="IN10" s="201"/>
      <c r="IO10" s="201"/>
      <c r="IP10" s="201"/>
      <c r="IQ10" s="201"/>
      <c r="IR10" s="201"/>
      <c r="IS10" s="201"/>
      <c r="IT10" s="201"/>
      <c r="IU10" s="201"/>
      <c r="IV10" s="201"/>
      <c r="IW10" s="201"/>
      <c r="IX10" s="201"/>
      <c r="IY10" s="201"/>
      <c r="IZ10" s="201"/>
      <c r="JA10" s="201"/>
      <c r="JB10" s="201"/>
      <c r="JC10" s="201"/>
      <c r="JD10" s="201"/>
      <c r="JE10" s="201"/>
      <c r="JF10" s="201"/>
      <c r="JG10" s="201"/>
      <c r="JH10" s="201"/>
      <c r="JI10" s="201"/>
      <c r="JJ10" s="201"/>
      <c r="JK10" s="201"/>
      <c r="JL10" s="201"/>
      <c r="JM10" s="201"/>
      <c r="JN10" s="201"/>
      <c r="JO10" s="201"/>
      <c r="JP10" s="201"/>
      <c r="JQ10" s="201"/>
      <c r="JR10" s="201"/>
      <c r="JS10" s="201"/>
      <c r="JT10" s="201"/>
      <c r="JU10" s="201"/>
      <c r="JV10" s="201"/>
      <c r="JW10" s="201"/>
      <c r="JX10" s="201"/>
      <c r="JY10" s="201"/>
      <c r="JZ10" s="201"/>
      <c r="KA10" s="201"/>
      <c r="KB10" s="201"/>
      <c r="KC10" s="201"/>
      <c r="KD10" s="201"/>
      <c r="KE10" s="201"/>
      <c r="KF10" s="201"/>
      <c r="KG10" s="201"/>
      <c r="KH10" s="201"/>
      <c r="KI10" s="201"/>
      <c r="KJ10" s="201"/>
      <c r="KK10" s="201"/>
      <c r="KL10" s="201"/>
      <c r="KM10" s="201"/>
      <c r="KN10" s="201"/>
      <c r="KO10" s="201"/>
      <c r="KP10" s="201"/>
      <c r="KQ10" s="201"/>
      <c r="KR10" s="201"/>
      <c r="KS10" s="201"/>
      <c r="KT10" s="201"/>
      <c r="KU10" s="201"/>
      <c r="KV10" s="201"/>
      <c r="KW10" s="201"/>
      <c r="KX10" s="201"/>
      <c r="KY10" s="201"/>
      <c r="KZ10" s="201"/>
      <c r="LA10" s="201"/>
      <c r="LB10" s="201"/>
      <c r="LC10" s="201"/>
      <c r="LD10" s="201"/>
      <c r="LE10" s="201"/>
      <c r="LF10" s="201"/>
      <c r="LG10" s="201"/>
      <c r="LH10" s="201"/>
      <c r="LI10" s="201"/>
      <c r="LJ10" s="201"/>
      <c r="LK10" s="201"/>
      <c r="LL10" s="201"/>
      <c r="LM10" s="201"/>
      <c r="LN10" s="201"/>
      <c r="LO10" s="201"/>
      <c r="LP10" s="201"/>
      <c r="LQ10" s="201"/>
      <c r="LR10" s="201"/>
      <c r="LS10" s="201"/>
      <c r="LT10" s="201"/>
      <c r="LU10" s="201"/>
      <c r="LV10" s="201"/>
      <c r="LW10" s="201"/>
      <c r="LX10" s="201"/>
      <c r="LY10" s="201"/>
      <c r="LZ10" s="201"/>
      <c r="MA10" s="201"/>
      <c r="MB10" s="201"/>
      <c r="MC10" s="201"/>
      <c r="MD10" s="201"/>
      <c r="ME10" s="201"/>
      <c r="MF10" s="201"/>
      <c r="MG10" s="201"/>
      <c r="MH10" s="201"/>
      <c r="MI10" s="201"/>
      <c r="MJ10" s="201"/>
      <c r="MK10" s="201"/>
      <c r="ML10" s="201"/>
      <c r="MM10" s="201"/>
      <c r="MN10" s="201"/>
      <c r="MO10" s="201"/>
      <c r="MP10" s="201"/>
      <c r="MQ10" s="201"/>
      <c r="MR10" s="201"/>
      <c r="MS10" s="201"/>
      <c r="MT10" s="201"/>
      <c r="MU10" s="201"/>
      <c r="MV10" s="201"/>
      <c r="MW10" s="201"/>
      <c r="MX10" s="201"/>
      <c r="MY10" s="201"/>
      <c r="MZ10" s="201"/>
      <c r="NA10" s="201"/>
      <c r="NB10" s="201"/>
      <c r="NC10" s="201"/>
      <c r="ND10" s="201"/>
      <c r="NE10" s="201"/>
      <c r="NF10" s="201"/>
      <c r="NG10" s="201"/>
      <c r="NH10" s="201"/>
      <c r="NI10" s="201"/>
      <c r="NJ10" s="201"/>
      <c r="NK10" s="201"/>
      <c r="NL10" s="201"/>
      <c r="NM10" s="201"/>
      <c r="NN10" s="201"/>
      <c r="NO10" s="201"/>
      <c r="NP10" s="201"/>
      <c r="NQ10" s="201"/>
      <c r="NR10" s="201"/>
      <c r="NS10" s="201"/>
      <c r="NT10" s="201"/>
      <c r="NU10" s="201"/>
      <c r="NV10" s="201"/>
      <c r="NW10" s="201"/>
      <c r="NX10" s="201"/>
      <c r="NY10" s="201"/>
      <c r="NZ10" s="201"/>
      <c r="OA10" s="201"/>
      <c r="OB10" s="201"/>
      <c r="OC10" s="201"/>
      <c r="OD10" s="201"/>
      <c r="OE10" s="201"/>
      <c r="OF10" s="201"/>
      <c r="OG10" s="201"/>
      <c r="OH10" s="201"/>
      <c r="OI10" s="201"/>
      <c r="OJ10" s="201"/>
      <c r="OK10" s="201"/>
      <c r="OL10" s="201"/>
      <c r="OM10" s="201"/>
      <c r="ON10" s="201"/>
      <c r="OO10" s="201"/>
      <c r="OP10" s="201"/>
      <c r="OQ10" s="201"/>
      <c r="OR10" s="201"/>
      <c r="OS10" s="201"/>
      <c r="OT10" s="201"/>
      <c r="OU10" s="201"/>
      <c r="OV10" s="201"/>
      <c r="OW10" s="201"/>
      <c r="OX10" s="201"/>
      <c r="OY10" s="201"/>
      <c r="OZ10" s="201"/>
      <c r="PA10" s="201"/>
      <c r="PB10" s="201"/>
      <c r="PC10" s="201"/>
      <c r="PD10" s="201"/>
      <c r="PE10" s="201"/>
      <c r="PF10" s="201"/>
      <c r="PG10" s="201"/>
      <c r="PH10" s="201"/>
      <c r="PI10" s="201"/>
      <c r="PJ10" s="201"/>
      <c r="PK10" s="201"/>
      <c r="PL10" s="201"/>
      <c r="PM10" s="201"/>
      <c r="PN10" s="201"/>
      <c r="PO10" s="201"/>
      <c r="PP10" s="201"/>
      <c r="PQ10" s="201"/>
      <c r="PR10" s="201"/>
      <c r="PS10" s="201"/>
      <c r="PT10" s="201"/>
      <c r="PU10" s="201"/>
      <c r="PV10" s="201"/>
      <c r="PW10" s="201"/>
      <c r="PX10" s="201"/>
      <c r="PY10" s="201"/>
      <c r="PZ10" s="201"/>
      <c r="QA10" s="201"/>
      <c r="QB10" s="201"/>
      <c r="QC10" s="201"/>
      <c r="QD10" s="201"/>
      <c r="QE10" s="201"/>
      <c r="QF10" s="201"/>
      <c r="QG10" s="201"/>
      <c r="QH10" s="201"/>
      <c r="QI10" s="201"/>
      <c r="QJ10" s="201"/>
      <c r="QK10" s="201"/>
      <c r="QL10" s="201"/>
      <c r="QM10" s="201"/>
      <c r="QN10" s="201"/>
      <c r="QO10" s="201"/>
      <c r="QP10" s="201"/>
      <c r="QQ10" s="201"/>
      <c r="QR10" s="201"/>
      <c r="QS10" s="201"/>
      <c r="QT10" s="201"/>
      <c r="QU10" s="201"/>
      <c r="QV10" s="201"/>
      <c r="QW10" s="201"/>
      <c r="QX10" s="201"/>
      <c r="QY10" s="201"/>
      <c r="QZ10" s="201"/>
      <c r="RA10" s="201"/>
      <c r="RB10" s="201"/>
      <c r="RC10" s="201"/>
      <c r="RD10" s="201"/>
      <c r="RE10" s="201"/>
      <c r="RF10" s="201"/>
      <c r="RG10" s="201"/>
      <c r="RH10" s="201"/>
      <c r="RI10" s="201"/>
      <c r="RJ10" s="201"/>
      <c r="RK10" s="201"/>
      <c r="RL10" s="201"/>
      <c r="RM10" s="201"/>
      <c r="RN10" s="201"/>
      <c r="RO10" s="201"/>
      <c r="RP10" s="201"/>
      <c r="RQ10" s="201"/>
      <c r="RR10" s="201"/>
      <c r="RS10" s="201"/>
      <c r="RT10" s="201"/>
      <c r="RU10" s="201"/>
      <c r="RV10" s="201"/>
      <c r="RW10" s="201"/>
      <c r="RX10" s="201"/>
      <c r="RY10" s="201"/>
      <c r="RZ10" s="201"/>
      <c r="SA10" s="201"/>
      <c r="SB10" s="201"/>
      <c r="SC10" s="201"/>
      <c r="SD10" s="201"/>
      <c r="SE10" s="201"/>
      <c r="SF10" s="201"/>
      <c r="SG10" s="201"/>
      <c r="SH10" s="201"/>
      <c r="SI10" s="201"/>
      <c r="SJ10" s="201"/>
      <c r="SK10" s="201"/>
      <c r="SL10" s="201"/>
      <c r="SM10" s="201"/>
      <c r="SN10" s="201"/>
      <c r="SO10" s="201"/>
      <c r="SP10" s="201"/>
      <c r="SQ10" s="201"/>
      <c r="SR10" s="201"/>
      <c r="SS10" s="201"/>
      <c r="ST10" s="201"/>
      <c r="SU10" s="201"/>
      <c r="SV10" s="201"/>
      <c r="SW10" s="201"/>
      <c r="SX10" s="201"/>
      <c r="SY10" s="201"/>
      <c r="SZ10" s="201"/>
      <c r="TA10" s="201"/>
      <c r="TB10" s="201"/>
      <c r="TC10" s="201"/>
      <c r="TD10" s="201"/>
      <c r="TE10" s="201"/>
      <c r="TF10" s="201"/>
      <c r="TG10" s="201"/>
      <c r="TH10" s="201"/>
      <c r="TI10" s="201"/>
      <c r="TJ10" s="201"/>
      <c r="TK10" s="201"/>
      <c r="TL10" s="201"/>
      <c r="TM10" s="201"/>
      <c r="TN10" s="201"/>
      <c r="TO10" s="201"/>
      <c r="TP10" s="201"/>
      <c r="TQ10" s="201"/>
      <c r="TR10" s="201"/>
      <c r="TS10" s="201"/>
      <c r="TT10" s="201"/>
      <c r="TU10" s="201"/>
      <c r="TV10" s="201"/>
      <c r="TW10" s="201"/>
      <c r="TX10" s="201"/>
      <c r="TY10" s="201"/>
      <c r="TZ10" s="201"/>
      <c r="UA10" s="201"/>
      <c r="UB10" s="201"/>
      <c r="UC10" s="201"/>
      <c r="UD10" s="201"/>
      <c r="UE10" s="201"/>
      <c r="UF10" s="201"/>
      <c r="UG10" s="201"/>
      <c r="UH10" s="201"/>
      <c r="UI10" s="201"/>
      <c r="UJ10" s="201"/>
      <c r="UK10" s="201"/>
      <c r="UL10" s="201"/>
      <c r="UM10" s="201"/>
      <c r="UN10" s="201"/>
      <c r="UO10" s="201"/>
      <c r="UP10" s="201"/>
      <c r="UQ10" s="201"/>
      <c r="UR10" s="201"/>
      <c r="US10" s="201"/>
      <c r="UT10" s="201"/>
      <c r="UU10" s="201"/>
      <c r="UV10" s="201"/>
      <c r="UW10" s="201"/>
      <c r="UX10" s="201"/>
      <c r="UY10" s="201"/>
      <c r="UZ10" s="201"/>
      <c r="VA10" s="201"/>
      <c r="VB10" s="201"/>
      <c r="VC10" s="201"/>
      <c r="VD10" s="201"/>
      <c r="VE10" s="201"/>
      <c r="VF10" s="201"/>
      <c r="VG10" s="201"/>
      <c r="VH10" s="201"/>
      <c r="VI10" s="201"/>
      <c r="VJ10" s="201"/>
      <c r="VK10" s="201"/>
      <c r="VL10" s="201"/>
      <c r="VM10" s="201"/>
      <c r="VN10" s="201"/>
      <c r="VO10" s="201"/>
      <c r="VP10" s="201"/>
      <c r="VQ10" s="201"/>
      <c r="VR10" s="201"/>
      <c r="VS10" s="201"/>
      <c r="VT10" s="201"/>
      <c r="VU10" s="201"/>
      <c r="VV10" s="201"/>
      <c r="VW10" s="201"/>
      <c r="VX10" s="201"/>
      <c r="VY10" s="201"/>
      <c r="VZ10" s="201"/>
      <c r="WA10" s="201"/>
      <c r="WB10" s="201"/>
      <c r="WC10" s="201"/>
      <c r="WD10" s="201"/>
      <c r="WE10" s="201"/>
      <c r="WF10" s="201"/>
      <c r="WG10" s="201"/>
      <c r="WH10" s="201"/>
      <c r="WI10" s="201"/>
      <c r="WJ10" s="201"/>
      <c r="WK10" s="201"/>
      <c r="WL10" s="201"/>
      <c r="WM10" s="201"/>
      <c r="WN10" s="201"/>
      <c r="WO10" s="201"/>
      <c r="WP10" s="201"/>
      <c r="WQ10" s="201"/>
      <c r="WR10" s="201"/>
      <c r="WS10" s="201"/>
      <c r="WT10" s="201"/>
      <c r="WU10" s="201"/>
      <c r="WV10" s="201"/>
      <c r="WW10" s="201"/>
      <c r="WX10" s="201"/>
      <c r="WY10" s="201"/>
      <c r="WZ10" s="201"/>
      <c r="XA10" s="201"/>
      <c r="XB10" s="201"/>
      <c r="XC10" s="201"/>
      <c r="XD10" s="201"/>
      <c r="XE10" s="201"/>
      <c r="XF10" s="201"/>
      <c r="XG10" s="201"/>
      <c r="XH10" s="201"/>
      <c r="XI10" s="201"/>
      <c r="XJ10" s="201"/>
      <c r="XK10" s="201"/>
      <c r="XL10" s="201"/>
      <c r="XM10" s="201"/>
      <c r="XN10" s="201"/>
      <c r="XO10" s="201"/>
      <c r="XP10" s="201"/>
      <c r="XQ10" s="201"/>
      <c r="XR10" s="201"/>
      <c r="XS10" s="201"/>
      <c r="XT10" s="201"/>
      <c r="XU10" s="201"/>
      <c r="XV10" s="201"/>
      <c r="XW10" s="201"/>
      <c r="XX10" s="201"/>
      <c r="XY10" s="201"/>
      <c r="XZ10" s="201"/>
      <c r="YA10" s="201"/>
      <c r="YB10" s="201"/>
      <c r="YC10" s="201"/>
      <c r="YD10" s="201"/>
      <c r="YE10" s="201"/>
      <c r="YF10" s="201"/>
      <c r="YG10" s="201"/>
      <c r="YH10" s="201"/>
      <c r="YI10" s="201"/>
      <c r="YJ10" s="201"/>
      <c r="YK10" s="201"/>
      <c r="YL10" s="201"/>
      <c r="YM10" s="201"/>
      <c r="YN10" s="201"/>
      <c r="YO10" s="201"/>
      <c r="YP10" s="201"/>
      <c r="YQ10" s="201"/>
      <c r="YR10" s="201"/>
      <c r="YS10" s="201"/>
      <c r="YT10" s="201"/>
      <c r="YU10" s="201"/>
      <c r="YV10" s="201"/>
      <c r="YW10" s="201"/>
      <c r="YX10" s="201"/>
      <c r="YY10" s="201"/>
      <c r="YZ10" s="201"/>
      <c r="ZA10" s="201"/>
      <c r="ZB10" s="201"/>
      <c r="ZC10" s="201"/>
      <c r="ZD10" s="201"/>
      <c r="ZE10" s="201"/>
      <c r="ZF10" s="201"/>
      <c r="ZG10" s="201"/>
    </row>
    <row r="11" spans="1:683" ht="16.2" thickBot="1">
      <c r="A11" s="201"/>
      <c r="B11" s="201"/>
      <c r="C11" s="201"/>
      <c r="D11" s="73"/>
      <c r="E11" s="201"/>
      <c r="F11" s="201"/>
      <c r="G11" s="201"/>
      <c r="H11" s="201"/>
      <c r="I11" s="201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 t="s">
        <v>244</v>
      </c>
      <c r="AU11" s="197"/>
      <c r="AV11" s="197"/>
      <c r="AW11" s="197"/>
      <c r="AX11" s="197"/>
      <c r="AY11" s="197"/>
      <c r="AZ11" s="197"/>
      <c r="BA11" s="197"/>
      <c r="BB11" s="197"/>
      <c r="BC11" s="274"/>
      <c r="BD11" s="274"/>
      <c r="BE11" s="274"/>
      <c r="BF11" s="274"/>
      <c r="BG11" s="274"/>
      <c r="BH11" s="201"/>
      <c r="BI11" s="201"/>
      <c r="BJ11" s="201"/>
      <c r="BK11" s="201"/>
      <c r="BL11" s="199"/>
      <c r="BM11" s="201"/>
      <c r="BN11" s="201"/>
      <c r="BO11" s="201"/>
      <c r="BP11" s="201"/>
      <c r="BQ11" s="201"/>
      <c r="BR11" s="201"/>
      <c r="BS11" s="201"/>
      <c r="BT11" s="201"/>
      <c r="BU11" s="201"/>
      <c r="BV11" s="201"/>
      <c r="BW11" s="201"/>
      <c r="BX11" s="201"/>
      <c r="BY11" s="201"/>
      <c r="BZ11" s="201"/>
      <c r="CA11" s="201"/>
      <c r="CB11" s="201"/>
      <c r="CC11" s="201"/>
      <c r="CD11" s="201"/>
      <c r="CE11" s="201"/>
      <c r="CF11" s="201"/>
      <c r="CG11" s="201"/>
      <c r="CH11" s="201"/>
      <c r="CI11" s="201"/>
      <c r="CJ11" s="201"/>
      <c r="CK11" s="201"/>
      <c r="CL11" s="201"/>
      <c r="CM11" s="201"/>
      <c r="CN11" s="201"/>
      <c r="CO11" s="201"/>
      <c r="CP11" s="201"/>
      <c r="CQ11" s="201"/>
      <c r="CR11" s="201"/>
      <c r="CS11" s="201"/>
      <c r="CT11" s="201"/>
      <c r="CU11" s="201"/>
      <c r="CV11" s="201"/>
      <c r="CW11" s="201"/>
      <c r="CX11" s="201"/>
      <c r="CY11" s="201"/>
      <c r="CZ11" s="201"/>
      <c r="DA11" s="201"/>
      <c r="DB11" s="201"/>
      <c r="DC11" s="201"/>
      <c r="DD11" s="201"/>
      <c r="DE11" s="201"/>
      <c r="DF11" s="201"/>
      <c r="DG11" s="201"/>
      <c r="DH11" s="201"/>
      <c r="DI11" s="201"/>
      <c r="DJ11" s="201"/>
      <c r="DK11" s="201"/>
      <c r="DL11" s="201"/>
      <c r="DM11" s="201"/>
      <c r="DN11" s="201"/>
      <c r="DO11" s="201"/>
      <c r="DP11" s="201"/>
      <c r="DQ11" s="201"/>
      <c r="DR11" s="201"/>
      <c r="DS11" s="201"/>
      <c r="DT11" s="201"/>
      <c r="DU11" s="201"/>
      <c r="DV11" s="201"/>
      <c r="DW11" s="201"/>
      <c r="DX11" s="201"/>
      <c r="DY11" s="201"/>
      <c r="DZ11" s="201"/>
      <c r="EA11" s="201"/>
      <c r="EB11" s="201"/>
      <c r="EC11" s="201"/>
      <c r="ED11" s="201"/>
      <c r="EE11" s="201"/>
      <c r="EF11" s="201"/>
      <c r="EG11" s="201"/>
      <c r="EH11" s="201"/>
      <c r="EI11" s="201"/>
      <c r="EJ11" s="201"/>
      <c r="EK11" s="201"/>
      <c r="EL11" s="201"/>
      <c r="EM11" s="201"/>
      <c r="EN11" s="201"/>
      <c r="EO11" s="201"/>
      <c r="EP11" s="201"/>
      <c r="EQ11" s="201"/>
      <c r="ER11" s="201"/>
      <c r="ES11" s="201"/>
      <c r="ET11" s="201"/>
      <c r="EU11" s="201"/>
      <c r="EV11" s="201"/>
      <c r="EW11" s="201"/>
      <c r="EX11" s="201"/>
      <c r="EY11" s="201"/>
      <c r="EZ11" s="201"/>
      <c r="FA11" s="201"/>
      <c r="FB11" s="201"/>
      <c r="FC11" s="201"/>
      <c r="FD11" s="201"/>
      <c r="FE11" s="201"/>
      <c r="FF11" s="201"/>
      <c r="FG11" s="201"/>
      <c r="FH11" s="201"/>
      <c r="FI11" s="201"/>
      <c r="FJ11" s="201"/>
      <c r="FK11" s="201"/>
      <c r="FL11" s="201"/>
      <c r="FM11" s="201"/>
      <c r="FN11" s="201"/>
      <c r="FO11" s="201"/>
      <c r="FP11" s="201"/>
      <c r="FQ11" s="201"/>
      <c r="FR11" s="201"/>
      <c r="FS11" s="201"/>
      <c r="FT11" s="201"/>
      <c r="FU11" s="201"/>
      <c r="FV11" s="201"/>
      <c r="FW11" s="201"/>
      <c r="FX11" s="201"/>
      <c r="FY11" s="201"/>
      <c r="FZ11" s="201"/>
      <c r="GA11" s="201"/>
      <c r="GB11" s="201"/>
      <c r="GC11" s="201"/>
      <c r="GD11" s="201"/>
      <c r="GE11" s="201"/>
      <c r="GF11" s="201"/>
      <c r="GG11" s="201"/>
      <c r="GH11" s="201"/>
      <c r="GI11" s="201"/>
      <c r="GJ11" s="201"/>
      <c r="GK11" s="201"/>
      <c r="GL11" s="201"/>
      <c r="GM11" s="201"/>
      <c r="GN11" s="201"/>
      <c r="GO11" s="201"/>
      <c r="GP11" s="201"/>
      <c r="GQ11" s="201"/>
      <c r="GR11" s="201"/>
      <c r="GS11" s="201"/>
      <c r="GT11" s="201"/>
      <c r="GU11" s="201"/>
      <c r="GV11" s="201"/>
      <c r="GW11" s="201"/>
      <c r="GX11" s="201"/>
      <c r="GY11" s="201"/>
      <c r="GZ11" s="201"/>
      <c r="HA11" s="201"/>
      <c r="HB11" s="201"/>
      <c r="HC11" s="201"/>
      <c r="HD11" s="201"/>
      <c r="HE11" s="201"/>
      <c r="HF11" s="201"/>
      <c r="HG11" s="201"/>
      <c r="HH11" s="201"/>
      <c r="HI11" s="201"/>
      <c r="HJ11" s="201"/>
      <c r="HK11" s="201"/>
      <c r="HL11" s="201"/>
      <c r="HM11" s="201"/>
      <c r="HN11" s="201"/>
      <c r="HO11" s="201"/>
      <c r="HP11" s="201"/>
      <c r="HQ11" s="201"/>
      <c r="HR11" s="201"/>
      <c r="HS11" s="201"/>
      <c r="HT11" s="201"/>
      <c r="HU11" s="201"/>
      <c r="HV11" s="201"/>
      <c r="HW11" s="201"/>
      <c r="HX11" s="201"/>
      <c r="HY11" s="201"/>
      <c r="HZ11" s="201"/>
      <c r="IA11" s="201"/>
      <c r="IB11" s="201"/>
      <c r="IC11" s="201"/>
      <c r="ID11" s="201"/>
      <c r="IE11" s="201"/>
      <c r="IF11" s="201"/>
      <c r="IG11" s="201"/>
      <c r="IH11" s="201"/>
      <c r="II11" s="201"/>
      <c r="IJ11" s="201"/>
      <c r="IK11" s="201"/>
      <c r="IL11" s="201"/>
      <c r="IM11" s="201"/>
      <c r="IN11" s="201"/>
      <c r="IO11" s="201"/>
      <c r="IP11" s="201"/>
      <c r="IQ11" s="201"/>
      <c r="IR11" s="201"/>
      <c r="IS11" s="201"/>
      <c r="IT11" s="201"/>
      <c r="IU11" s="201"/>
      <c r="IV11" s="201"/>
      <c r="IW11" s="201"/>
      <c r="IX11" s="201"/>
      <c r="IY11" s="201"/>
      <c r="IZ11" s="201"/>
      <c r="JA11" s="201"/>
      <c r="JB11" s="201"/>
      <c r="JC11" s="201"/>
      <c r="JD11" s="201"/>
      <c r="JE11" s="201"/>
      <c r="JF11" s="201"/>
      <c r="JG11" s="201"/>
      <c r="JH11" s="201"/>
      <c r="JI11" s="201"/>
      <c r="JJ11" s="201"/>
      <c r="JK11" s="201"/>
      <c r="JL11" s="201"/>
      <c r="JM11" s="201"/>
      <c r="JN11" s="201"/>
      <c r="JO11" s="201"/>
      <c r="JP11" s="201"/>
      <c r="JQ11" s="201"/>
      <c r="JR11" s="201"/>
      <c r="JS11" s="201"/>
      <c r="JT11" s="201"/>
      <c r="JU11" s="201"/>
      <c r="JV11" s="201"/>
      <c r="JW11" s="201"/>
      <c r="JX11" s="201"/>
      <c r="JY11" s="201"/>
      <c r="JZ11" s="201"/>
      <c r="KA11" s="201"/>
      <c r="KB11" s="201"/>
      <c r="KC11" s="201"/>
      <c r="KD11" s="201"/>
      <c r="KE11" s="201"/>
      <c r="KF11" s="201"/>
      <c r="KG11" s="201"/>
      <c r="KH11" s="201"/>
      <c r="KI11" s="201"/>
      <c r="KJ11" s="201"/>
      <c r="KK11" s="201"/>
      <c r="KL11" s="201"/>
      <c r="KM11" s="201"/>
      <c r="KN11" s="201"/>
      <c r="KO11" s="201"/>
      <c r="KP11" s="201"/>
      <c r="KQ11" s="201"/>
      <c r="KR11" s="201"/>
      <c r="KS11" s="201"/>
      <c r="KT11" s="201"/>
      <c r="KU11" s="201"/>
      <c r="KV11" s="201"/>
      <c r="KW11" s="201"/>
      <c r="KX11" s="201"/>
      <c r="KY11" s="201"/>
      <c r="KZ11" s="201"/>
      <c r="LA11" s="201"/>
      <c r="LB11" s="201"/>
      <c r="LC11" s="201"/>
      <c r="LD11" s="201"/>
      <c r="LE11" s="201"/>
      <c r="LF11" s="201"/>
      <c r="LG11" s="201"/>
      <c r="LH11" s="201"/>
      <c r="LI11" s="201"/>
      <c r="LJ11" s="201"/>
      <c r="LK11" s="201"/>
      <c r="LL11" s="201"/>
      <c r="LM11" s="201"/>
      <c r="LN11" s="201"/>
      <c r="LO11" s="201"/>
      <c r="LP11" s="201"/>
      <c r="LQ11" s="201"/>
      <c r="LR11" s="201"/>
      <c r="LS11" s="201"/>
      <c r="LT11" s="201"/>
      <c r="LU11" s="201"/>
      <c r="LV11" s="201"/>
      <c r="LW11" s="201"/>
      <c r="LX11" s="201"/>
      <c r="LY11" s="201"/>
      <c r="LZ11" s="201"/>
      <c r="MA11" s="201"/>
      <c r="MB11" s="201"/>
      <c r="MC11" s="201"/>
      <c r="MD11" s="201"/>
      <c r="ME11" s="201"/>
      <c r="MF11" s="201"/>
      <c r="MG11" s="201"/>
      <c r="MH11" s="201"/>
      <c r="MI11" s="201"/>
      <c r="MJ11" s="201"/>
      <c r="MK11" s="201"/>
      <c r="ML11" s="201"/>
      <c r="MM11" s="201"/>
      <c r="MN11" s="201"/>
      <c r="MO11" s="201"/>
      <c r="MP11" s="201"/>
      <c r="MQ11" s="201"/>
      <c r="MR11" s="201"/>
      <c r="MS11" s="201"/>
      <c r="MT11" s="201"/>
      <c r="MU11" s="201"/>
      <c r="MV11" s="201"/>
      <c r="MW11" s="201"/>
      <c r="MX11" s="201"/>
      <c r="MY11" s="201"/>
      <c r="MZ11" s="201"/>
      <c r="NA11" s="201"/>
      <c r="NB11" s="201"/>
      <c r="NC11" s="201"/>
      <c r="ND11" s="201"/>
      <c r="NE11" s="201"/>
      <c r="NF11" s="201"/>
      <c r="NG11" s="201"/>
      <c r="NH11" s="201"/>
      <c r="NI11" s="201"/>
      <c r="NJ11" s="201"/>
      <c r="NK11" s="201"/>
      <c r="NL11" s="201"/>
      <c r="NM11" s="201"/>
      <c r="NN11" s="201"/>
      <c r="NO11" s="201"/>
      <c r="NP11" s="201"/>
      <c r="NQ11" s="201"/>
      <c r="NR11" s="201"/>
      <c r="NS11" s="201"/>
      <c r="NT11" s="201"/>
      <c r="NU11" s="201"/>
      <c r="NV11" s="201"/>
      <c r="NW11" s="201"/>
      <c r="NX11" s="201"/>
      <c r="NY11" s="201"/>
      <c r="NZ11" s="201"/>
      <c r="OA11" s="201"/>
      <c r="OB11" s="201"/>
      <c r="OC11" s="201"/>
      <c r="OD11" s="201"/>
      <c r="OE11" s="201"/>
      <c r="OF11" s="201"/>
      <c r="OG11" s="201"/>
      <c r="OH11" s="201"/>
      <c r="OI11" s="201"/>
      <c r="OJ11" s="201"/>
      <c r="OK11" s="201"/>
      <c r="OL11" s="201"/>
      <c r="OM11" s="201"/>
      <c r="ON11" s="201"/>
      <c r="OO11" s="201"/>
      <c r="OP11" s="201"/>
      <c r="OQ11" s="201"/>
      <c r="OR11" s="201"/>
      <c r="OS11" s="201"/>
      <c r="OT11" s="201"/>
      <c r="OU11" s="201"/>
      <c r="OV11" s="201"/>
      <c r="OW11" s="201"/>
      <c r="OX11" s="201"/>
      <c r="OY11" s="201"/>
      <c r="OZ11" s="201"/>
      <c r="PA11" s="201"/>
      <c r="PB11" s="201"/>
      <c r="PC11" s="201"/>
      <c r="PD11" s="201"/>
      <c r="PE11" s="201"/>
      <c r="PF11" s="201"/>
      <c r="PG11" s="201"/>
      <c r="PH11" s="201"/>
      <c r="PI11" s="201"/>
      <c r="PJ11" s="201"/>
      <c r="PK11" s="201"/>
      <c r="PL11" s="201"/>
      <c r="PM11" s="201"/>
      <c r="PN11" s="201"/>
      <c r="PO11" s="201"/>
      <c r="PP11" s="201"/>
      <c r="PQ11" s="201"/>
      <c r="PR11" s="201"/>
      <c r="PS11" s="201"/>
      <c r="PT11" s="201"/>
      <c r="PU11" s="201"/>
      <c r="PV11" s="201"/>
      <c r="PW11" s="201"/>
      <c r="PX11" s="201"/>
      <c r="PY11" s="201"/>
      <c r="PZ11" s="201"/>
      <c r="QA11" s="201"/>
      <c r="QB11" s="201"/>
      <c r="QC11" s="201"/>
      <c r="QD11" s="201"/>
      <c r="QE11" s="201"/>
      <c r="QF11" s="201"/>
      <c r="QG11" s="201"/>
      <c r="QH11" s="201"/>
      <c r="QI11" s="201"/>
      <c r="QJ11" s="201"/>
      <c r="QK11" s="201"/>
      <c r="QL11" s="201"/>
      <c r="QM11" s="201"/>
      <c r="QN11" s="201"/>
      <c r="QO11" s="201"/>
      <c r="QP11" s="201"/>
      <c r="QQ11" s="201"/>
      <c r="QR11" s="201"/>
      <c r="QS11" s="201"/>
      <c r="QT11" s="201"/>
      <c r="QU11" s="201"/>
      <c r="QV11" s="201"/>
      <c r="QW11" s="201"/>
      <c r="QX11" s="201"/>
      <c r="QY11" s="201"/>
      <c r="QZ11" s="201"/>
      <c r="RA11" s="201"/>
      <c r="RB11" s="201"/>
      <c r="RC11" s="201"/>
      <c r="RD11" s="201"/>
      <c r="RE11" s="201"/>
      <c r="RF11" s="201"/>
      <c r="RG11" s="201"/>
      <c r="RH11" s="201"/>
      <c r="RI11" s="201"/>
      <c r="RJ11" s="201"/>
      <c r="RK11" s="201"/>
      <c r="RL11" s="201"/>
      <c r="RM11" s="201"/>
      <c r="RN11" s="201"/>
      <c r="RO11" s="201"/>
      <c r="RP11" s="201"/>
      <c r="RQ11" s="201"/>
      <c r="RR11" s="201"/>
      <c r="RS11" s="201"/>
      <c r="RT11" s="201"/>
      <c r="RU11" s="201"/>
      <c r="RV11" s="201"/>
      <c r="RW11" s="201"/>
      <c r="RX11" s="201"/>
      <c r="RY11" s="201"/>
      <c r="RZ11" s="201"/>
      <c r="SA11" s="201"/>
      <c r="SB11" s="201"/>
      <c r="SC11" s="201"/>
      <c r="SD11" s="201"/>
      <c r="SE11" s="201"/>
      <c r="SF11" s="201"/>
      <c r="SG11" s="201"/>
      <c r="SH11" s="201"/>
      <c r="SI11" s="201"/>
      <c r="SJ11" s="201"/>
      <c r="SK11" s="201"/>
      <c r="SL11" s="201"/>
      <c r="SM11" s="201"/>
      <c r="SN11" s="201"/>
      <c r="SO11" s="201"/>
      <c r="SP11" s="201"/>
      <c r="SQ11" s="201"/>
      <c r="SR11" s="201"/>
      <c r="SS11" s="201"/>
      <c r="ST11" s="201"/>
      <c r="SU11" s="201"/>
      <c r="SV11" s="201"/>
      <c r="SW11" s="201"/>
      <c r="SX11" s="201"/>
      <c r="SY11" s="201"/>
      <c r="SZ11" s="201"/>
      <c r="TA11" s="201"/>
      <c r="TB11" s="201"/>
      <c r="TC11" s="201"/>
      <c r="TD11" s="201"/>
      <c r="TE11" s="201"/>
      <c r="TF11" s="201"/>
      <c r="TG11" s="201"/>
      <c r="TH11" s="201"/>
      <c r="TI11" s="201"/>
      <c r="TJ11" s="201"/>
      <c r="TK11" s="201"/>
      <c r="TL11" s="201"/>
      <c r="TM11" s="201"/>
      <c r="TN11" s="201"/>
      <c r="TO11" s="201"/>
      <c r="TP11" s="201"/>
      <c r="TQ11" s="201"/>
      <c r="TR11" s="201"/>
      <c r="TS11" s="201"/>
      <c r="TT11" s="201"/>
      <c r="TU11" s="201"/>
      <c r="TV11" s="201"/>
      <c r="TW11" s="201"/>
      <c r="TX11" s="201"/>
      <c r="TY11" s="201"/>
      <c r="TZ11" s="201"/>
      <c r="UA11" s="201"/>
      <c r="UB11" s="201"/>
      <c r="UC11" s="201"/>
      <c r="UD11" s="201"/>
      <c r="UE11" s="201"/>
      <c r="UF11" s="201"/>
      <c r="UG11" s="201"/>
      <c r="UH11" s="201"/>
      <c r="UI11" s="201"/>
      <c r="UJ11" s="201"/>
      <c r="UK11" s="201"/>
      <c r="UL11" s="201"/>
      <c r="UM11" s="201"/>
      <c r="UN11" s="201"/>
      <c r="UO11" s="201"/>
      <c r="UP11" s="201"/>
      <c r="UQ11" s="201"/>
      <c r="UR11" s="201"/>
      <c r="US11" s="201"/>
      <c r="UT11" s="201"/>
      <c r="UU11" s="201"/>
      <c r="UV11" s="201"/>
      <c r="UW11" s="201"/>
      <c r="UX11" s="201"/>
      <c r="UY11" s="201"/>
      <c r="UZ11" s="201"/>
      <c r="VA11" s="201"/>
      <c r="VB11" s="201"/>
      <c r="VC11" s="201"/>
      <c r="VD11" s="201"/>
      <c r="VE11" s="201"/>
      <c r="VF11" s="201"/>
      <c r="VG11" s="201"/>
      <c r="VH11" s="201"/>
      <c r="VI11" s="201"/>
      <c r="VJ11" s="201"/>
      <c r="VK11" s="201"/>
      <c r="VL11" s="201"/>
      <c r="VM11" s="201"/>
      <c r="VN11" s="201"/>
      <c r="VO11" s="201"/>
      <c r="VP11" s="201"/>
      <c r="VQ11" s="201"/>
      <c r="VR11" s="201"/>
      <c r="VS11" s="201"/>
      <c r="VT11" s="201"/>
      <c r="VU11" s="201"/>
      <c r="VV11" s="201"/>
      <c r="VW11" s="201"/>
      <c r="VX11" s="201"/>
      <c r="VY11" s="201"/>
      <c r="VZ11" s="201"/>
      <c r="WA11" s="201"/>
      <c r="WB11" s="201"/>
      <c r="WC11" s="201"/>
      <c r="WD11" s="201"/>
      <c r="WE11" s="201"/>
      <c r="WF11" s="201"/>
      <c r="WG11" s="201"/>
      <c r="WH11" s="201"/>
      <c r="WI11" s="201"/>
      <c r="WJ11" s="201"/>
      <c r="WK11" s="201"/>
      <c r="WL11" s="201"/>
      <c r="WM11" s="201"/>
      <c r="WN11" s="201"/>
      <c r="WO11" s="201"/>
      <c r="WP11" s="201"/>
      <c r="WQ11" s="201"/>
      <c r="WR11" s="201"/>
      <c r="WS11" s="201"/>
      <c r="WT11" s="201"/>
      <c r="WU11" s="201"/>
      <c r="WV11" s="201"/>
      <c r="WW11" s="201"/>
      <c r="WX11" s="201"/>
      <c r="WY11" s="201"/>
      <c r="WZ11" s="201"/>
      <c r="XA11" s="201"/>
      <c r="XB11" s="201"/>
      <c r="XC11" s="201"/>
      <c r="XD11" s="201"/>
      <c r="XE11" s="201"/>
      <c r="XF11" s="201"/>
      <c r="XG11" s="201"/>
      <c r="XH11" s="201"/>
      <c r="XI11" s="201"/>
      <c r="XJ11" s="201"/>
      <c r="XK11" s="201"/>
      <c r="XL11" s="201"/>
      <c r="XM11" s="201"/>
      <c r="XN11" s="201"/>
      <c r="XO11" s="201"/>
      <c r="XP11" s="201"/>
      <c r="XQ11" s="201"/>
      <c r="XR11" s="201"/>
      <c r="XS11" s="201"/>
      <c r="XT11" s="201"/>
      <c r="XU11" s="201"/>
      <c r="XV11" s="201"/>
      <c r="XW11" s="201"/>
      <c r="XX11" s="201"/>
      <c r="XY11" s="201"/>
      <c r="XZ11" s="201"/>
      <c r="YA11" s="201"/>
      <c r="YB11" s="201"/>
      <c r="YC11" s="201"/>
      <c r="YD11" s="201"/>
      <c r="YE11" s="201"/>
      <c r="YF11" s="201"/>
      <c r="YG11" s="201"/>
      <c r="YH11" s="201"/>
      <c r="YI11" s="201"/>
      <c r="YJ11" s="201"/>
      <c r="YK11" s="201"/>
      <c r="YL11" s="201"/>
      <c r="YM11" s="201"/>
      <c r="YN11" s="201"/>
      <c r="YO11" s="201"/>
      <c r="YP11" s="201"/>
      <c r="YQ11" s="201"/>
      <c r="YR11" s="201"/>
      <c r="YS11" s="201"/>
      <c r="YT11" s="201"/>
      <c r="YU11" s="201"/>
      <c r="YV11" s="201"/>
      <c r="YW11" s="201"/>
      <c r="YX11" s="201"/>
      <c r="YY11" s="201"/>
      <c r="YZ11" s="201"/>
      <c r="ZA11" s="201"/>
      <c r="ZB11" s="201"/>
      <c r="ZC11" s="201"/>
      <c r="ZD11" s="201"/>
      <c r="ZE11" s="201"/>
      <c r="ZF11" s="201"/>
      <c r="ZG11" s="201"/>
    </row>
    <row r="12" spans="1:683" ht="16.2" thickBot="1">
      <c r="A12" s="201"/>
      <c r="B12" s="201"/>
      <c r="C12" s="201"/>
      <c r="D12" s="73"/>
      <c r="E12" s="201"/>
      <c r="F12" s="302" t="s">
        <v>5</v>
      </c>
      <c r="G12" s="303"/>
      <c r="H12" s="303"/>
      <c r="I12" s="303"/>
      <c r="J12" s="303"/>
      <c r="K12" s="303"/>
      <c r="L12" s="303"/>
      <c r="M12" s="303"/>
      <c r="N12" s="303"/>
      <c r="O12" s="303"/>
      <c r="P12" s="303"/>
      <c r="Q12" s="303"/>
      <c r="R12" s="303"/>
      <c r="S12" s="303"/>
      <c r="T12" s="303"/>
      <c r="U12" s="303"/>
      <c r="V12" s="303"/>
      <c r="W12" s="303"/>
      <c r="X12" s="303"/>
      <c r="Y12" s="303"/>
      <c r="Z12" s="303"/>
      <c r="AA12" s="303"/>
      <c r="AB12" s="303"/>
      <c r="AC12" s="303"/>
      <c r="AD12" s="303"/>
      <c r="AE12" s="303"/>
      <c r="AF12" s="303"/>
      <c r="AG12" s="303"/>
      <c r="AH12" s="303"/>
      <c r="AI12" s="303"/>
      <c r="AJ12" s="304"/>
      <c r="AK12" s="302" t="s">
        <v>6</v>
      </c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4"/>
      <c r="BB12" s="302" t="s">
        <v>553</v>
      </c>
      <c r="BC12" s="303"/>
      <c r="BD12" s="303"/>
      <c r="BE12" s="303"/>
      <c r="BF12" s="303"/>
      <c r="BG12" s="303"/>
      <c r="BH12" s="303"/>
      <c r="BI12" s="303"/>
      <c r="BJ12" s="303"/>
      <c r="BK12" s="304"/>
      <c r="BL12" s="232"/>
      <c r="BM12" s="197"/>
      <c r="BN12" s="197"/>
      <c r="BO12" s="197"/>
      <c r="BP12" s="197"/>
      <c r="BQ12" s="197"/>
      <c r="BR12" s="197"/>
      <c r="BS12" s="197"/>
      <c r="BT12" s="197"/>
      <c r="BU12" s="197"/>
      <c r="BV12" s="197"/>
      <c r="BW12" s="197"/>
      <c r="BX12" s="197"/>
      <c r="BY12" s="197"/>
      <c r="BZ12" s="197"/>
      <c r="CA12" s="197"/>
      <c r="CB12" s="197"/>
      <c r="CC12" s="197"/>
      <c r="CD12" s="197"/>
      <c r="CE12" s="197"/>
      <c r="CF12" s="197"/>
      <c r="CG12" s="197"/>
      <c r="CH12" s="197"/>
      <c r="CI12" s="197"/>
      <c r="CJ12" s="197"/>
      <c r="CK12" s="197"/>
      <c r="CL12" s="201"/>
      <c r="CM12" s="201"/>
      <c r="CN12" s="201"/>
      <c r="CO12" s="201"/>
      <c r="CP12" s="201"/>
      <c r="CQ12" s="201"/>
      <c r="CR12" s="201"/>
      <c r="CS12" s="201"/>
      <c r="CT12" s="201"/>
      <c r="CU12" s="201"/>
      <c r="CV12" s="201"/>
      <c r="CW12" s="201"/>
      <c r="CX12" s="201"/>
      <c r="CY12" s="201"/>
      <c r="CZ12" s="201"/>
      <c r="DA12" s="201"/>
      <c r="DB12" s="201"/>
      <c r="DC12" s="201"/>
      <c r="DD12" s="201"/>
      <c r="DE12" s="201"/>
      <c r="DF12" s="201"/>
      <c r="DG12" s="201"/>
      <c r="DH12" s="201"/>
      <c r="DI12" s="201"/>
      <c r="DJ12" s="201"/>
      <c r="DK12" s="201"/>
      <c r="DL12" s="201"/>
      <c r="DM12" s="201"/>
      <c r="DN12" s="201"/>
      <c r="DO12" s="201"/>
      <c r="DP12" s="201"/>
      <c r="DQ12" s="201"/>
      <c r="DR12" s="201"/>
      <c r="DS12" s="201"/>
      <c r="DT12" s="201"/>
      <c r="DU12" s="201"/>
      <c r="DV12" s="201"/>
      <c r="DW12" s="201"/>
      <c r="DX12" s="201"/>
      <c r="DY12" s="201"/>
      <c r="DZ12" s="201"/>
      <c r="EA12" s="201"/>
      <c r="EB12" s="201"/>
      <c r="EC12" s="201"/>
      <c r="ED12" s="201"/>
      <c r="EE12" s="201"/>
      <c r="EF12" s="201"/>
      <c r="EG12" s="201"/>
      <c r="EH12" s="201"/>
      <c r="EI12" s="201"/>
      <c r="EJ12" s="201"/>
      <c r="EK12" s="201"/>
      <c r="EL12" s="201"/>
      <c r="EM12" s="201"/>
      <c r="EN12" s="201"/>
      <c r="EO12" s="201"/>
      <c r="EP12" s="201"/>
      <c r="EQ12" s="201"/>
      <c r="ER12" s="201"/>
      <c r="ES12" s="201"/>
      <c r="ET12" s="201"/>
      <c r="EU12" s="201"/>
      <c r="EV12" s="201"/>
      <c r="EW12" s="201"/>
      <c r="EX12" s="201"/>
      <c r="EY12" s="201"/>
      <c r="EZ12" s="201"/>
      <c r="FA12" s="201"/>
      <c r="FB12" s="201"/>
      <c r="FC12" s="201"/>
      <c r="FD12" s="201"/>
      <c r="FE12" s="201"/>
      <c r="FF12" s="201"/>
      <c r="FG12" s="201"/>
      <c r="FH12" s="201"/>
      <c r="FI12" s="201"/>
      <c r="FJ12" s="201"/>
      <c r="FK12" s="201"/>
      <c r="FL12" s="201"/>
      <c r="FM12" s="201"/>
      <c r="FN12" s="201"/>
      <c r="FO12" s="201"/>
      <c r="FP12" s="201"/>
      <c r="FQ12" s="201"/>
      <c r="FR12" s="201"/>
      <c r="FS12" s="201"/>
      <c r="FT12" s="201"/>
      <c r="FU12" s="201"/>
      <c r="FV12" s="201"/>
      <c r="FW12" s="201"/>
      <c r="FX12" s="201"/>
      <c r="FY12" s="201"/>
      <c r="FZ12" s="201"/>
      <c r="GA12" s="201"/>
      <c r="GB12" s="201"/>
      <c r="GC12" s="201"/>
      <c r="GD12" s="201"/>
      <c r="GE12" s="201"/>
      <c r="GF12" s="201"/>
      <c r="GG12" s="201"/>
      <c r="GH12" s="201"/>
      <c r="GI12" s="201"/>
      <c r="GJ12" s="201"/>
      <c r="GK12" s="201"/>
      <c r="GL12" s="201"/>
      <c r="GM12" s="201"/>
      <c r="GN12" s="201"/>
      <c r="GO12" s="201"/>
      <c r="GP12" s="201"/>
      <c r="GQ12" s="201"/>
      <c r="GR12" s="201"/>
      <c r="GS12" s="201"/>
      <c r="GT12" s="201"/>
      <c r="GU12" s="201"/>
      <c r="GV12" s="201"/>
      <c r="GW12" s="201"/>
      <c r="GX12" s="201"/>
      <c r="GY12" s="201"/>
      <c r="GZ12" s="201"/>
      <c r="HA12" s="201"/>
      <c r="HB12" s="201"/>
      <c r="HC12" s="201"/>
      <c r="HD12" s="201"/>
      <c r="HE12" s="201"/>
      <c r="HF12" s="201"/>
      <c r="HG12" s="201"/>
      <c r="HH12" s="201"/>
      <c r="HI12" s="201"/>
      <c r="HJ12" s="201"/>
      <c r="HK12" s="201"/>
      <c r="HL12" s="201"/>
      <c r="HM12" s="201"/>
      <c r="HN12" s="201"/>
      <c r="HO12" s="201"/>
      <c r="HP12" s="201"/>
      <c r="HQ12" s="201"/>
      <c r="HR12" s="201"/>
      <c r="HS12" s="201"/>
      <c r="HT12" s="201"/>
      <c r="HU12" s="201"/>
      <c r="HV12" s="201"/>
      <c r="HW12" s="201"/>
      <c r="HX12" s="201"/>
      <c r="HY12" s="201"/>
      <c r="HZ12" s="201"/>
      <c r="IA12" s="201"/>
      <c r="IB12" s="201"/>
      <c r="IC12" s="201"/>
      <c r="ID12" s="201"/>
      <c r="IE12" s="201"/>
      <c r="IF12" s="201"/>
      <c r="IG12" s="201"/>
      <c r="IH12" s="201"/>
      <c r="II12" s="201"/>
      <c r="IJ12" s="201"/>
      <c r="IK12" s="201"/>
      <c r="IL12" s="201"/>
      <c r="IM12" s="201"/>
      <c r="IN12" s="201"/>
      <c r="IO12" s="201"/>
      <c r="IP12" s="201"/>
      <c r="IQ12" s="201"/>
      <c r="IR12" s="201"/>
      <c r="IS12" s="201"/>
      <c r="IT12" s="201"/>
      <c r="IU12" s="201"/>
      <c r="IV12" s="201"/>
      <c r="IW12" s="201"/>
      <c r="IX12" s="201"/>
      <c r="IY12" s="201"/>
      <c r="IZ12" s="201"/>
      <c r="JA12" s="201"/>
      <c r="JB12" s="201"/>
      <c r="JC12" s="201"/>
      <c r="JD12" s="201"/>
      <c r="JE12" s="201"/>
      <c r="JF12" s="201"/>
      <c r="JG12" s="201"/>
      <c r="JH12" s="201"/>
      <c r="JI12" s="201"/>
      <c r="JJ12" s="201"/>
      <c r="JK12" s="201"/>
      <c r="JL12" s="201"/>
      <c r="JM12" s="201"/>
      <c r="JN12" s="201"/>
      <c r="JO12" s="201"/>
      <c r="JP12" s="201"/>
      <c r="JQ12" s="201"/>
      <c r="JR12" s="201"/>
      <c r="JS12" s="201"/>
      <c r="JT12" s="201"/>
      <c r="JU12" s="201"/>
      <c r="JV12" s="201"/>
      <c r="JW12" s="201"/>
      <c r="JX12" s="201"/>
      <c r="JY12" s="201"/>
      <c r="JZ12" s="201"/>
      <c r="KA12" s="201"/>
      <c r="KB12" s="201"/>
      <c r="KC12" s="201"/>
      <c r="KD12" s="201"/>
      <c r="KE12" s="201"/>
      <c r="KF12" s="201"/>
      <c r="KG12" s="201"/>
      <c r="KH12" s="201"/>
      <c r="KI12" s="201"/>
      <c r="KJ12" s="201"/>
      <c r="KK12" s="201"/>
      <c r="KL12" s="201"/>
      <c r="KM12" s="201"/>
      <c r="KN12" s="201"/>
      <c r="KO12" s="201"/>
      <c r="KP12" s="201"/>
      <c r="KQ12" s="201"/>
      <c r="KR12" s="201"/>
      <c r="KS12" s="201"/>
      <c r="KT12" s="201"/>
      <c r="KU12" s="201"/>
      <c r="KV12" s="201"/>
      <c r="KW12" s="201"/>
      <c r="KX12" s="201"/>
      <c r="KY12" s="201"/>
      <c r="KZ12" s="201"/>
      <c r="LA12" s="201"/>
      <c r="LB12" s="201"/>
      <c r="LC12" s="201"/>
      <c r="LD12" s="201"/>
      <c r="LE12" s="201"/>
      <c r="LF12" s="201"/>
      <c r="LG12" s="201"/>
      <c r="LH12" s="201"/>
      <c r="LI12" s="201"/>
      <c r="LJ12" s="201"/>
      <c r="LK12" s="201"/>
      <c r="LL12" s="201"/>
      <c r="LM12" s="201"/>
      <c r="LN12" s="201"/>
      <c r="LO12" s="201"/>
      <c r="LP12" s="201"/>
      <c r="LQ12" s="201"/>
      <c r="LR12" s="201"/>
      <c r="LS12" s="201"/>
      <c r="LT12" s="201"/>
      <c r="LU12" s="201"/>
      <c r="LV12" s="201"/>
      <c r="LW12" s="201"/>
      <c r="LX12" s="201"/>
      <c r="LY12" s="201"/>
      <c r="LZ12" s="201"/>
      <c r="MA12" s="201"/>
      <c r="MB12" s="201"/>
      <c r="MC12" s="201"/>
      <c r="MD12" s="201"/>
      <c r="ME12" s="201"/>
      <c r="MF12" s="201"/>
      <c r="MG12" s="201"/>
      <c r="MH12" s="201"/>
      <c r="MI12" s="201"/>
      <c r="MJ12" s="201"/>
      <c r="MK12" s="201"/>
      <c r="ML12" s="201"/>
      <c r="MM12" s="201"/>
      <c r="MN12" s="201"/>
      <c r="MO12" s="201"/>
      <c r="MP12" s="201"/>
      <c r="MQ12" s="201"/>
      <c r="MR12" s="201"/>
      <c r="MS12" s="201"/>
      <c r="MT12" s="201"/>
      <c r="MU12" s="201"/>
      <c r="MV12" s="201"/>
      <c r="MW12" s="201"/>
      <c r="MX12" s="201"/>
      <c r="MY12" s="201"/>
      <c r="MZ12" s="201"/>
      <c r="NA12" s="201"/>
      <c r="NB12" s="201"/>
      <c r="NC12" s="201"/>
      <c r="ND12" s="201"/>
      <c r="NE12" s="201"/>
      <c r="NF12" s="201"/>
      <c r="NG12" s="201"/>
      <c r="NH12" s="201"/>
      <c r="NI12" s="201"/>
      <c r="NJ12" s="201"/>
      <c r="NK12" s="201"/>
      <c r="NL12" s="201"/>
      <c r="NM12" s="201"/>
      <c r="NN12" s="201"/>
      <c r="NO12" s="201"/>
      <c r="NP12" s="201"/>
      <c r="NQ12" s="201"/>
      <c r="NR12" s="201"/>
      <c r="NS12" s="201"/>
      <c r="NT12" s="201"/>
      <c r="NU12" s="201"/>
      <c r="NV12" s="201"/>
      <c r="NW12" s="201"/>
      <c r="NX12" s="201"/>
      <c r="NY12" s="201"/>
      <c r="NZ12" s="201"/>
      <c r="OA12" s="201"/>
      <c r="OB12" s="201"/>
      <c r="OC12" s="201"/>
      <c r="OD12" s="201"/>
      <c r="OE12" s="201"/>
      <c r="OF12" s="201"/>
      <c r="OG12" s="201"/>
      <c r="OH12" s="201"/>
      <c r="OI12" s="201"/>
      <c r="OJ12" s="201"/>
      <c r="OK12" s="201"/>
      <c r="OL12" s="201"/>
      <c r="OM12" s="201"/>
      <c r="ON12" s="201"/>
      <c r="OO12" s="201"/>
      <c r="OP12" s="201"/>
      <c r="OQ12" s="201"/>
      <c r="OR12" s="201"/>
      <c r="OS12" s="201"/>
      <c r="OT12" s="201"/>
      <c r="OU12" s="201"/>
      <c r="OV12" s="201"/>
      <c r="OW12" s="201"/>
      <c r="OX12" s="201"/>
      <c r="OY12" s="201"/>
      <c r="OZ12" s="201"/>
      <c r="PA12" s="201"/>
      <c r="PB12" s="201"/>
      <c r="PC12" s="201"/>
      <c r="PD12" s="201"/>
      <c r="PE12" s="201"/>
      <c r="PF12" s="201"/>
      <c r="PG12" s="201"/>
      <c r="PH12" s="201"/>
      <c r="PI12" s="201"/>
      <c r="PJ12" s="201"/>
      <c r="PK12" s="201"/>
      <c r="PL12" s="201"/>
      <c r="PM12" s="201"/>
      <c r="PN12" s="201"/>
      <c r="PO12" s="201"/>
      <c r="PP12" s="201"/>
      <c r="PQ12" s="201"/>
      <c r="PR12" s="201"/>
      <c r="PS12" s="201"/>
      <c r="PT12" s="201"/>
      <c r="PU12" s="201"/>
      <c r="PV12" s="201"/>
      <c r="PW12" s="201"/>
      <c r="PX12" s="201"/>
      <c r="PY12" s="201"/>
      <c r="PZ12" s="201"/>
      <c r="QA12" s="201"/>
      <c r="QB12" s="201"/>
      <c r="QC12" s="201"/>
      <c r="QD12" s="201"/>
      <c r="QE12" s="201"/>
      <c r="QF12" s="201"/>
      <c r="QG12" s="201"/>
      <c r="QH12" s="201"/>
      <c r="QI12" s="201"/>
      <c r="QJ12" s="201"/>
      <c r="QK12" s="201"/>
      <c r="QL12" s="201"/>
      <c r="QM12" s="201"/>
      <c r="QN12" s="201"/>
      <c r="QO12" s="201"/>
      <c r="QP12" s="201"/>
      <c r="QQ12" s="201"/>
      <c r="QR12" s="201"/>
      <c r="QS12" s="201"/>
      <c r="QT12" s="201"/>
      <c r="QU12" s="201"/>
      <c r="QV12" s="201"/>
      <c r="QW12" s="201"/>
      <c r="QX12" s="201"/>
      <c r="QY12" s="201"/>
      <c r="QZ12" s="201"/>
      <c r="RA12" s="201"/>
      <c r="RB12" s="201"/>
      <c r="RC12" s="201"/>
      <c r="RD12" s="201"/>
      <c r="RE12" s="201"/>
      <c r="RF12" s="201"/>
      <c r="RG12" s="201"/>
      <c r="RH12" s="201"/>
      <c r="RI12" s="201"/>
      <c r="RJ12" s="201"/>
      <c r="RK12" s="201"/>
      <c r="RL12" s="201"/>
      <c r="RM12" s="201"/>
      <c r="RN12" s="201"/>
      <c r="RO12" s="201"/>
      <c r="RP12" s="201"/>
      <c r="RQ12" s="201"/>
      <c r="RR12" s="201"/>
      <c r="RS12" s="201"/>
      <c r="RT12" s="201"/>
      <c r="RU12" s="201"/>
      <c r="RV12" s="201"/>
      <c r="RW12" s="201"/>
      <c r="RX12" s="201"/>
      <c r="RY12" s="201"/>
      <c r="RZ12" s="201"/>
      <c r="SA12" s="201"/>
      <c r="SB12" s="201"/>
      <c r="SC12" s="201"/>
      <c r="SD12" s="201"/>
      <c r="SE12" s="201"/>
      <c r="SF12" s="201"/>
      <c r="SG12" s="201"/>
      <c r="SH12" s="201"/>
      <c r="SI12" s="201"/>
      <c r="SJ12" s="201"/>
      <c r="SK12" s="201"/>
      <c r="SL12" s="201"/>
      <c r="SM12" s="201"/>
      <c r="SN12" s="201"/>
      <c r="SO12" s="201"/>
      <c r="SP12" s="201"/>
      <c r="SQ12" s="201"/>
      <c r="SR12" s="201"/>
      <c r="SS12" s="201"/>
      <c r="ST12" s="201"/>
      <c r="SU12" s="201"/>
      <c r="SV12" s="201"/>
      <c r="SW12" s="201"/>
      <c r="SX12" s="201"/>
      <c r="SY12" s="201"/>
      <c r="SZ12" s="201"/>
      <c r="TA12" s="201"/>
      <c r="TB12" s="201"/>
      <c r="TC12" s="201"/>
      <c r="TD12" s="201"/>
      <c r="TE12" s="201"/>
      <c r="TF12" s="201"/>
      <c r="TG12" s="201"/>
      <c r="TH12" s="201"/>
      <c r="TI12" s="201"/>
      <c r="TJ12" s="201"/>
      <c r="TK12" s="201"/>
      <c r="TL12" s="201"/>
      <c r="TM12" s="201"/>
      <c r="TN12" s="201"/>
      <c r="TO12" s="201"/>
      <c r="TP12" s="201"/>
      <c r="TQ12" s="201"/>
      <c r="TR12" s="201"/>
      <c r="TS12" s="201"/>
      <c r="TT12" s="201"/>
      <c r="TU12" s="201"/>
      <c r="TV12" s="201"/>
      <c r="TW12" s="201"/>
      <c r="TX12" s="201"/>
      <c r="TY12" s="201"/>
      <c r="TZ12" s="201"/>
      <c r="UA12" s="201"/>
      <c r="UB12" s="201"/>
      <c r="UC12" s="201"/>
      <c r="UD12" s="201"/>
      <c r="UE12" s="201"/>
      <c r="UF12" s="201"/>
      <c r="UG12" s="201"/>
      <c r="UH12" s="201"/>
      <c r="UI12" s="201"/>
      <c r="UJ12" s="201"/>
      <c r="UK12" s="201"/>
      <c r="UL12" s="201"/>
      <c r="UM12" s="201"/>
      <c r="UN12" s="201"/>
      <c r="UO12" s="201"/>
      <c r="UP12" s="201"/>
      <c r="UQ12" s="201"/>
      <c r="UR12" s="201"/>
      <c r="US12" s="201"/>
      <c r="UT12" s="201"/>
      <c r="UU12" s="201"/>
      <c r="UV12" s="201"/>
      <c r="UW12" s="201"/>
      <c r="UX12" s="201"/>
      <c r="UY12" s="201"/>
      <c r="UZ12" s="201"/>
      <c r="VA12" s="201"/>
      <c r="VB12" s="201"/>
      <c r="VC12" s="201"/>
      <c r="VD12" s="201"/>
      <c r="VE12" s="201"/>
      <c r="VF12" s="201"/>
      <c r="VG12" s="201"/>
      <c r="VH12" s="201"/>
      <c r="VI12" s="201"/>
      <c r="VJ12" s="201"/>
      <c r="VK12" s="201"/>
      <c r="VL12" s="201"/>
      <c r="VM12" s="201"/>
      <c r="VN12" s="201"/>
      <c r="VO12" s="201"/>
      <c r="VP12" s="201"/>
      <c r="VQ12" s="201"/>
      <c r="VR12" s="201"/>
      <c r="VS12" s="201"/>
      <c r="VT12" s="201"/>
      <c r="VU12" s="201"/>
      <c r="VV12" s="201"/>
      <c r="VW12" s="201"/>
      <c r="VX12" s="201"/>
      <c r="VY12" s="201"/>
      <c r="VZ12" s="201"/>
      <c r="WA12" s="201"/>
      <c r="WB12" s="201"/>
      <c r="WC12" s="201"/>
      <c r="WD12" s="201"/>
      <c r="WE12" s="201"/>
      <c r="WF12" s="201"/>
      <c r="WG12" s="201"/>
      <c r="WH12" s="201"/>
      <c r="WI12" s="201"/>
      <c r="WJ12" s="201"/>
      <c r="WK12" s="201"/>
      <c r="WL12" s="201"/>
      <c r="WM12" s="201"/>
      <c r="WN12" s="201"/>
      <c r="WO12" s="201"/>
      <c r="WP12" s="201"/>
      <c r="WQ12" s="201"/>
      <c r="WR12" s="201"/>
      <c r="WS12" s="201"/>
      <c r="WT12" s="201"/>
      <c r="WU12" s="201"/>
      <c r="WV12" s="201"/>
      <c r="WW12" s="201"/>
      <c r="WX12" s="201"/>
      <c r="WY12" s="201"/>
      <c r="WZ12" s="201"/>
      <c r="XA12" s="201"/>
      <c r="XB12" s="201"/>
      <c r="XC12" s="201"/>
      <c r="XD12" s="201"/>
      <c r="XE12" s="201"/>
      <c r="XF12" s="201"/>
      <c r="XG12" s="201"/>
      <c r="XH12" s="201"/>
      <c r="XI12" s="201"/>
      <c r="XJ12" s="201"/>
      <c r="XK12" s="201"/>
      <c r="XL12" s="201"/>
      <c r="XM12" s="201"/>
      <c r="XN12" s="201"/>
      <c r="XO12" s="201"/>
      <c r="XP12" s="201"/>
      <c r="XQ12" s="201"/>
      <c r="XR12" s="201"/>
      <c r="XS12" s="201"/>
      <c r="XT12" s="201"/>
      <c r="XU12" s="201"/>
      <c r="XV12" s="201"/>
      <c r="XW12" s="201"/>
      <c r="XX12" s="201"/>
      <c r="XY12" s="201"/>
      <c r="XZ12" s="201"/>
      <c r="YA12" s="201"/>
      <c r="YB12" s="201"/>
      <c r="YC12" s="201"/>
      <c r="YD12" s="201"/>
      <c r="YE12" s="201"/>
      <c r="YF12" s="201"/>
      <c r="YG12" s="201"/>
      <c r="YH12" s="201"/>
      <c r="YI12" s="201"/>
      <c r="YJ12" s="201"/>
      <c r="YK12" s="201"/>
      <c r="YL12" s="201"/>
      <c r="YM12" s="201"/>
      <c r="YN12" s="201"/>
      <c r="YO12" s="201"/>
      <c r="YP12" s="201"/>
      <c r="YQ12" s="201"/>
      <c r="YR12" s="201"/>
      <c r="YS12" s="201"/>
      <c r="YT12" s="201"/>
      <c r="YU12" s="201"/>
      <c r="YV12" s="201"/>
      <c r="YW12" s="201"/>
      <c r="YX12" s="201"/>
      <c r="YY12" s="201"/>
      <c r="YZ12" s="201"/>
      <c r="ZA12" s="201"/>
      <c r="ZB12" s="201"/>
      <c r="ZC12" s="201"/>
      <c r="ZD12" s="201"/>
      <c r="ZE12" s="201"/>
      <c r="ZF12" s="201"/>
      <c r="ZG12" s="201"/>
    </row>
    <row r="13" spans="1:683" s="226" customFormat="1" ht="43.8" customHeight="1">
      <c r="A13" s="257" t="s">
        <v>7</v>
      </c>
      <c r="B13" s="195" t="s">
        <v>8</v>
      </c>
      <c r="C13" s="258" t="s">
        <v>9</v>
      </c>
      <c r="D13" s="279" t="s">
        <v>10</v>
      </c>
      <c r="E13" s="259" t="s">
        <v>11</v>
      </c>
      <c r="F13" s="260">
        <v>1</v>
      </c>
      <c r="G13" s="260">
        <v>2</v>
      </c>
      <c r="H13" s="260">
        <v>3</v>
      </c>
      <c r="I13" s="260">
        <v>4</v>
      </c>
      <c r="J13" s="260">
        <v>5</v>
      </c>
      <c r="K13" s="260">
        <v>6</v>
      </c>
      <c r="L13" s="260">
        <v>7</v>
      </c>
      <c r="M13" s="260">
        <v>8</v>
      </c>
      <c r="N13" s="260">
        <v>9</v>
      </c>
      <c r="O13" s="260">
        <v>10</v>
      </c>
      <c r="P13" s="260">
        <v>11</v>
      </c>
      <c r="Q13" s="260">
        <v>12</v>
      </c>
      <c r="R13" s="260">
        <v>13</v>
      </c>
      <c r="S13" s="260">
        <v>14</v>
      </c>
      <c r="T13" s="260">
        <v>15</v>
      </c>
      <c r="U13" s="260">
        <v>16</v>
      </c>
      <c r="V13" s="260">
        <v>17</v>
      </c>
      <c r="W13" s="260">
        <v>18</v>
      </c>
      <c r="X13" s="260">
        <v>19</v>
      </c>
      <c r="Y13" s="260">
        <v>20</v>
      </c>
      <c r="Z13" s="260">
        <v>21</v>
      </c>
      <c r="AA13" s="260">
        <v>22</v>
      </c>
      <c r="AB13" s="260">
        <v>23</v>
      </c>
      <c r="AC13" s="260">
        <v>24</v>
      </c>
      <c r="AD13" s="260">
        <v>25</v>
      </c>
      <c r="AE13" s="260">
        <v>26</v>
      </c>
      <c r="AF13" s="260">
        <v>27</v>
      </c>
      <c r="AG13" s="260">
        <v>28</v>
      </c>
      <c r="AH13" s="260">
        <v>29</v>
      </c>
      <c r="AI13" s="260">
        <v>30</v>
      </c>
      <c r="AJ13" s="261">
        <v>31</v>
      </c>
      <c r="AK13" s="192" t="s">
        <v>12</v>
      </c>
      <c r="AL13" s="193" t="s">
        <v>13</v>
      </c>
      <c r="AM13" s="193" t="s">
        <v>14</v>
      </c>
      <c r="AN13" s="192" t="s">
        <v>554</v>
      </c>
      <c r="AO13" s="192" t="s">
        <v>17</v>
      </c>
      <c r="AP13" s="194"/>
      <c r="AQ13" s="194" t="s">
        <v>15</v>
      </c>
      <c r="AR13" s="194" t="s">
        <v>16</v>
      </c>
      <c r="AS13" s="194"/>
      <c r="AT13" s="194" t="s">
        <v>18</v>
      </c>
      <c r="AU13" s="194" t="s">
        <v>19</v>
      </c>
      <c r="AV13" s="194" t="s">
        <v>20</v>
      </c>
      <c r="AW13" s="195" t="s">
        <v>555</v>
      </c>
      <c r="AX13" s="194" t="s">
        <v>556</v>
      </c>
      <c r="AY13" s="195" t="s">
        <v>557</v>
      </c>
      <c r="AZ13" s="194" t="s">
        <v>558</v>
      </c>
      <c r="BA13" s="196" t="s">
        <v>21</v>
      </c>
      <c r="BB13" s="192" t="s">
        <v>12</v>
      </c>
      <c r="BC13" s="193" t="s">
        <v>14</v>
      </c>
      <c r="BD13" s="194" t="s">
        <v>15</v>
      </c>
      <c r="BE13" s="194" t="s">
        <v>16</v>
      </c>
      <c r="BF13" s="194" t="s">
        <v>19</v>
      </c>
      <c r="BG13" s="194" t="s">
        <v>20</v>
      </c>
      <c r="BH13" s="195" t="s">
        <v>555</v>
      </c>
      <c r="BI13" s="195" t="s">
        <v>557</v>
      </c>
      <c r="BJ13" s="194" t="s">
        <v>558</v>
      </c>
      <c r="BK13" s="262" t="s">
        <v>21</v>
      </c>
      <c r="BL13" s="233" t="s">
        <v>559</v>
      </c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</row>
    <row r="14" spans="1:683" s="203" customFormat="1" ht="43.8" customHeight="1">
      <c r="A14" s="263">
        <v>1</v>
      </c>
      <c r="B14" s="190" t="s">
        <v>24</v>
      </c>
      <c r="C14" s="164">
        <v>8301</v>
      </c>
      <c r="D14" s="165" t="s">
        <v>302</v>
      </c>
      <c r="E14" s="166" t="s">
        <v>25</v>
      </c>
      <c r="F14" s="167" t="s">
        <v>29</v>
      </c>
      <c r="G14" s="168" t="s">
        <v>29</v>
      </c>
      <c r="H14" s="168" t="s">
        <v>193</v>
      </c>
      <c r="I14" s="168" t="s">
        <v>29</v>
      </c>
      <c r="J14" s="168">
        <v>1</v>
      </c>
      <c r="K14" s="168" t="s">
        <v>29</v>
      </c>
      <c r="L14" s="168"/>
      <c r="M14" s="168" t="s">
        <v>29</v>
      </c>
      <c r="N14" s="168" t="s">
        <v>29</v>
      </c>
      <c r="O14" s="168" t="s">
        <v>33</v>
      </c>
      <c r="P14" s="168" t="s">
        <v>34</v>
      </c>
      <c r="Q14" s="168">
        <v>3</v>
      </c>
      <c r="R14" s="168"/>
      <c r="S14" s="168" t="s">
        <v>30</v>
      </c>
      <c r="T14" s="168" t="s">
        <v>33</v>
      </c>
      <c r="U14" s="168" t="s">
        <v>29</v>
      </c>
      <c r="V14" s="168" t="s">
        <v>193</v>
      </c>
      <c r="W14" s="168" t="s">
        <v>29</v>
      </c>
      <c r="X14" s="168"/>
      <c r="Y14" s="168" t="s">
        <v>29</v>
      </c>
      <c r="Z14" s="168"/>
      <c r="AA14" s="168" t="s">
        <v>29</v>
      </c>
      <c r="AB14" s="168" t="s">
        <v>29</v>
      </c>
      <c r="AC14" s="168">
        <v>1</v>
      </c>
      <c r="AD14" s="168" t="s">
        <v>193</v>
      </c>
      <c r="AE14" s="168" t="s">
        <v>193</v>
      </c>
      <c r="AF14" s="168" t="s">
        <v>29</v>
      </c>
      <c r="AG14" s="168"/>
      <c r="AH14" s="168" t="s">
        <v>193</v>
      </c>
      <c r="AI14" s="168" t="s">
        <v>193</v>
      </c>
      <c r="AJ14" s="169"/>
      <c r="AK14" s="264">
        <f>COUNTIF(F14:AJ14,"1")+COUNTIF(F14:AJ14,"1, C1")+COUNTIF(F14:AJ14,"1, C1H2")+COUNTIF(F14:AJ14,"1, C1H1")</f>
        <v>2</v>
      </c>
      <c r="AL14" s="265">
        <f>COUNTIF(F14:AJ14,"S1")*0.5</f>
        <v>0</v>
      </c>
      <c r="AM14" s="266">
        <f>COUNTIF(F14:AJ14,"S2")*0.5+COUNTIF(F14:AJ14,"2, S2")*0.5+COUNTIF(F14:AJ14,"S2, C1")*0.5+COUNTIF(F14:AJ14,"S2, S2H2")*0.5+COUNTIF(F14:AJ14,"C1, S2")*0.5+COUNTIF(F14:AJ14,"H2, S2")*0.5</f>
        <v>3</v>
      </c>
      <c r="AN14" s="266"/>
      <c r="AO14" s="266">
        <f>COUNTIF(F14:AJ14,"H2, HC")*0.25</f>
        <v>0</v>
      </c>
      <c r="AP14" s="266"/>
      <c r="AQ14" s="266">
        <f>COUNTIF(F14:AJ14,"2")+COUNTIF(F14:AJ14,"2, S2")</f>
        <v>0</v>
      </c>
      <c r="AR14" s="266">
        <f>COUNTIF(F14:AJ14,"C1")*0.5+COUNTIF(F14:AJ14,"C1, S2")*0.5+COUNTIF(F14:AJ14,"1, C1")*0.5+COUNTIF(F14:AJ14,"C1, C2")*0.5</f>
        <v>4.5</v>
      </c>
      <c r="AS14" s="266"/>
      <c r="AT14" s="266">
        <f>COUNTIF(F14:AJ14,"H3, HC")*0.375</f>
        <v>0</v>
      </c>
      <c r="AU14" s="266">
        <f>COUNTIF(F14:AJ14,"C2")*0.5+COUNTIF(F14:AJ14,"3, C2")*0.5+COUNTIF(F14:AJ14,"C1, C2")*0.5</f>
        <v>1</v>
      </c>
      <c r="AV14" s="266">
        <f>COUNTIF(F14:AJ14,"HC")+COUNTIF(F14:AJ14,"H3, HC")+COUNTIF(F14:AJ14,"HC.J34H2")+COUNTIF(F14:AJ14,"H2, HC")</f>
        <v>12</v>
      </c>
      <c r="AW14" s="280">
        <f>SUM(AK14:AV14)</f>
        <v>22.5</v>
      </c>
      <c r="AX14" s="280">
        <f>COUNTIF(F14:AJ14,"3")+COUNTIF(F14:AJ14,"3, C2")</f>
        <v>2</v>
      </c>
      <c r="AY14" s="207"/>
      <c r="AZ14" s="208"/>
      <c r="BA14" s="268">
        <f>SUM(AW14:AZ14)</f>
        <v>24.5</v>
      </c>
      <c r="BB14" s="269">
        <f t="shared" ref="BB14:BB25" si="0">COUNTIF(F14:AJ14,"L1")+COUNTIF(F14:AJ14,"L1, LC1")</f>
        <v>0</v>
      </c>
      <c r="BC14" s="270">
        <f t="shared" ref="BC14:BC25" si="1">COUNTIF(F14:AJ14,"LS2")*0.5+COUNTIF(F14:AJ14,"L2, LS2")*0.5+COUNTIF(F14:AJ14,"LS2, LC1")*0.5+COUNTIF(F14:AJ14,"H2, S2")*0.5</f>
        <v>0</v>
      </c>
      <c r="BD14" s="270">
        <f t="shared" ref="BD14:BD25" si="2">COUNTIF(F14:AJ14,"L2")+COUNTIF(F14:AJ14,"L2, LS2")</f>
        <v>0</v>
      </c>
      <c r="BE14" s="270">
        <f t="shared" ref="BE14:BE25" si="3">COUNTIF(F14:AJ14,"LC1")*0.5+COUNTIF(F14:AJ14,"LS2, LC1")*0.5+COUNTIF(F14:AJ14,"L1, LC1")*0.5+COUNTIF(F14:AJ14,"LC1, LC2")*0.5</f>
        <v>0</v>
      </c>
      <c r="BF14" s="270">
        <f t="shared" ref="BF14:BF25" si="4">COUNTIF(F14:AJ14,"LC2")*0.5+COUNTIF(F14:AJ14,"L3, LC2")*0.5+COUNTIF(F14:AJ14,"LC1, LC2")*0.5</f>
        <v>0</v>
      </c>
      <c r="BG14" s="270">
        <f t="shared" ref="BG14:BG25" si="5">COUNTIF(F14:AJ14,"LHC")+COUNTIF(F14:AJ14,"LHC, H3")</f>
        <v>0</v>
      </c>
      <c r="BH14" s="271">
        <f t="shared" ref="BH14:BH75" si="6">SUM(BB14:BG14)</f>
        <v>0</v>
      </c>
      <c r="BI14" s="267"/>
      <c r="BJ14" s="267">
        <f t="shared" ref="BJ14:BJ25" si="7">COUNTIF(F14:AJ14,"L3")+COUNTIF(F14:AJ14,"L3, LC2")</f>
        <v>0</v>
      </c>
      <c r="BK14" s="272">
        <f t="shared" ref="BK14:BK75" si="8">SUM(BH14:BJ14)</f>
        <v>0</v>
      </c>
      <c r="BL14" s="273">
        <f>BK14+BA14</f>
        <v>24.5</v>
      </c>
      <c r="BM14" s="204"/>
      <c r="BN14" s="204"/>
      <c r="BO14" s="204"/>
      <c r="BP14" s="204"/>
      <c r="BQ14" s="204"/>
      <c r="BR14" s="204"/>
      <c r="BS14" s="204"/>
      <c r="BT14" s="204"/>
      <c r="BU14" s="204"/>
      <c r="BV14" s="204"/>
      <c r="BW14" s="204"/>
      <c r="BX14" s="204"/>
      <c r="BY14" s="204"/>
      <c r="BZ14" s="204"/>
      <c r="CA14" s="204"/>
      <c r="CB14" s="204"/>
      <c r="CC14" s="204"/>
      <c r="CD14" s="204"/>
      <c r="CE14" s="204"/>
      <c r="CF14" s="204"/>
      <c r="CG14" s="204"/>
      <c r="CH14" s="204"/>
      <c r="CI14" s="204"/>
      <c r="CJ14" s="204"/>
      <c r="CK14" s="204"/>
    </row>
    <row r="15" spans="1:683" s="63" customFormat="1" ht="36">
      <c r="A15" s="228">
        <v>2</v>
      </c>
      <c r="B15" s="190" t="s">
        <v>24</v>
      </c>
      <c r="C15" s="164">
        <v>8302</v>
      </c>
      <c r="D15" s="165" t="s">
        <v>31</v>
      </c>
      <c r="E15" s="166" t="s">
        <v>25</v>
      </c>
      <c r="F15" s="167" t="s">
        <v>193</v>
      </c>
      <c r="G15" s="168" t="s">
        <v>193</v>
      </c>
      <c r="H15" s="168" t="s">
        <v>193</v>
      </c>
      <c r="I15" s="168" t="s">
        <v>35</v>
      </c>
      <c r="J15" s="168" t="s">
        <v>193</v>
      </c>
      <c r="K15" s="168"/>
      <c r="L15" s="168" t="s">
        <v>32</v>
      </c>
      <c r="M15" s="168">
        <v>2</v>
      </c>
      <c r="N15" s="168" t="s">
        <v>193</v>
      </c>
      <c r="O15" s="168">
        <v>2</v>
      </c>
      <c r="P15" s="168">
        <v>2</v>
      </c>
      <c r="Q15" s="168">
        <v>2</v>
      </c>
      <c r="R15" s="168">
        <v>2</v>
      </c>
      <c r="S15" s="168"/>
      <c r="T15" s="168">
        <v>2</v>
      </c>
      <c r="U15" s="168">
        <v>2</v>
      </c>
      <c r="V15" s="168" t="s">
        <v>34</v>
      </c>
      <c r="W15" s="168" t="s">
        <v>34</v>
      </c>
      <c r="X15" s="168" t="s">
        <v>34</v>
      </c>
      <c r="Y15" s="168"/>
      <c r="Z15" s="168" t="s">
        <v>32</v>
      </c>
      <c r="AA15" s="168"/>
      <c r="AB15" s="168" t="s">
        <v>193</v>
      </c>
      <c r="AC15" s="168"/>
      <c r="AD15" s="168">
        <v>1</v>
      </c>
      <c r="AE15" s="168">
        <v>1</v>
      </c>
      <c r="AF15" s="168">
        <v>2</v>
      </c>
      <c r="AG15" s="168"/>
      <c r="AH15" s="168" t="s">
        <v>26</v>
      </c>
      <c r="AI15" s="168" t="s">
        <v>35</v>
      </c>
      <c r="AJ15" s="169"/>
      <c r="AK15" s="264">
        <f t="shared" ref="AK15:AK75" si="9">COUNTIF(F15:AJ15,"1")+COUNTIF(F15:AJ15,"1, C1")+COUNTIF(F15:AJ15,"1, C1H2")+COUNTIF(F15:AJ15,"1, C1H1")</f>
        <v>2</v>
      </c>
      <c r="AL15" s="265">
        <f t="shared" ref="AL15:AL75" si="10">COUNTIF(F15:AJ15,"S1")*0.5</f>
        <v>0</v>
      </c>
      <c r="AM15" s="266">
        <f t="shared" ref="AM15:AM75" si="11">COUNTIF(F15:AJ15,"S2")*0.5+COUNTIF(F15:AJ15,"2, S2")*0.5+COUNTIF(F15:AJ15,"S2, C1")*0.5+COUNTIF(F15:AJ15,"S2, S2H2")*0.5+COUNTIF(F15:AJ15,"C1, S2")*0.5+COUNTIF(F15:AJ15,"H2, S2")*0.5</f>
        <v>4.5</v>
      </c>
      <c r="AN15" s="266"/>
      <c r="AO15" s="266">
        <f t="shared" ref="AO15:AO75" si="12">COUNTIF(F15:AJ15,"H2, HC")*0.25</f>
        <v>0</v>
      </c>
      <c r="AP15" s="266"/>
      <c r="AQ15" s="266">
        <f t="shared" ref="AQ15:AQ75" si="13">COUNTIF(F15:AJ15,"2")+COUNTIF(F15:AJ15,"2, S2")</f>
        <v>10</v>
      </c>
      <c r="AR15" s="266">
        <f t="shared" ref="AR15:AR75" si="14">COUNTIF(F15:AJ15,"C1")*0.5+COUNTIF(F15:AJ15,"C1, S2")*0.5+COUNTIF(F15:AJ15,"1, C1")*0.5+COUNTIF(F15:AJ15,"C1, C2")*0.5</f>
        <v>3</v>
      </c>
      <c r="AS15" s="266"/>
      <c r="AT15" s="266">
        <f t="shared" ref="AT15:AT75" si="15">COUNTIF(F15:AJ15,"H3, HC")*0.375</f>
        <v>0</v>
      </c>
      <c r="AU15" s="266">
        <f t="shared" ref="AU15:AU75" si="16">COUNTIF(F15:AJ15,"C2")*0.5+COUNTIF(F15:AJ15,"3, C2")*0.5+COUNTIF(F15:AJ15,"C1, C2")*0.5</f>
        <v>2.5</v>
      </c>
      <c r="AV15" s="266">
        <f t="shared" ref="AV15:AV75" si="17">COUNTIF(F15:AJ15,"HC")+COUNTIF(F15:AJ15,"H3, HC")+COUNTIF(F15:AJ15,"HC.J34H2")+COUNTIF(F15:AJ15,"H2, HC")</f>
        <v>0</v>
      </c>
      <c r="AW15" s="280">
        <f t="shared" ref="AW15:AW33" si="18">SUM(AK15:AV15)</f>
        <v>22</v>
      </c>
      <c r="AX15" s="280">
        <f t="shared" ref="AX15:AX33" si="19">COUNTIF(F15:AJ15,"3")+COUNTIF(F15:AJ15,"3, C2")</f>
        <v>3</v>
      </c>
      <c r="AY15" s="207"/>
      <c r="AZ15" s="208"/>
      <c r="BA15" s="268">
        <f t="shared" ref="BA15:BA75" si="20">SUM(AW15:AZ15)</f>
        <v>25</v>
      </c>
      <c r="BB15" s="211">
        <f t="shared" si="0"/>
        <v>0</v>
      </c>
      <c r="BC15" s="212">
        <f t="shared" si="1"/>
        <v>0</v>
      </c>
      <c r="BD15" s="212">
        <f t="shared" si="2"/>
        <v>0</v>
      </c>
      <c r="BE15" s="212">
        <f t="shared" si="3"/>
        <v>0</v>
      </c>
      <c r="BF15" s="212">
        <f t="shared" si="4"/>
        <v>0</v>
      </c>
      <c r="BG15" s="212">
        <f t="shared" si="5"/>
        <v>0</v>
      </c>
      <c r="BH15" s="234">
        <f t="shared" si="6"/>
        <v>0</v>
      </c>
      <c r="BI15" s="209"/>
      <c r="BJ15" s="209">
        <f t="shared" si="7"/>
        <v>0</v>
      </c>
      <c r="BK15" s="235">
        <f t="shared" si="8"/>
        <v>0</v>
      </c>
      <c r="BL15" s="273">
        <f t="shared" ref="BL15:BL75" si="21">BK15+BA15</f>
        <v>25</v>
      </c>
      <c r="BM15" s="201"/>
      <c r="BN15" s="201"/>
      <c r="BO15" s="201"/>
      <c r="BP15" s="201"/>
      <c r="BQ15" s="201"/>
      <c r="BR15" s="201"/>
      <c r="BS15" s="201"/>
      <c r="BT15" s="201"/>
      <c r="BU15" s="201"/>
      <c r="BV15" s="201"/>
      <c r="BW15" s="201"/>
      <c r="BX15" s="201"/>
      <c r="BY15" s="201"/>
      <c r="BZ15" s="201"/>
      <c r="CA15" s="201"/>
      <c r="CB15" s="201"/>
      <c r="CC15" s="201"/>
      <c r="CD15" s="201"/>
      <c r="CE15" s="201"/>
      <c r="CF15" s="201"/>
      <c r="CG15" s="201"/>
      <c r="CH15" s="201"/>
      <c r="CI15" s="201"/>
      <c r="CJ15" s="201"/>
      <c r="CK15" s="201"/>
    </row>
    <row r="16" spans="1:683" s="63" customFormat="1" ht="22.8">
      <c r="A16" s="228">
        <v>3</v>
      </c>
      <c r="B16" s="190" t="s">
        <v>24</v>
      </c>
      <c r="C16" s="164">
        <v>8303</v>
      </c>
      <c r="D16" s="165" t="s">
        <v>304</v>
      </c>
      <c r="E16" s="166" t="s">
        <v>25</v>
      </c>
      <c r="F16" s="167" t="s">
        <v>27</v>
      </c>
      <c r="G16" s="168">
        <v>2</v>
      </c>
      <c r="H16" s="168"/>
      <c r="I16" s="168" t="s">
        <v>26</v>
      </c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9"/>
      <c r="AK16" s="264">
        <f t="shared" si="9"/>
        <v>1</v>
      </c>
      <c r="AL16" s="265">
        <f t="shared" si="10"/>
        <v>0</v>
      </c>
      <c r="AM16" s="266">
        <f t="shared" si="11"/>
        <v>0.5</v>
      </c>
      <c r="AN16" s="266"/>
      <c r="AO16" s="266">
        <f t="shared" si="12"/>
        <v>0</v>
      </c>
      <c r="AP16" s="266"/>
      <c r="AQ16" s="266">
        <f t="shared" si="13"/>
        <v>1</v>
      </c>
      <c r="AR16" s="266">
        <f t="shared" si="14"/>
        <v>0.5</v>
      </c>
      <c r="AS16" s="266"/>
      <c r="AT16" s="266">
        <f t="shared" si="15"/>
        <v>0</v>
      </c>
      <c r="AU16" s="266">
        <f t="shared" si="16"/>
        <v>0</v>
      </c>
      <c r="AV16" s="266">
        <f t="shared" si="17"/>
        <v>0</v>
      </c>
      <c r="AW16" s="280">
        <f t="shared" si="18"/>
        <v>3</v>
      </c>
      <c r="AX16" s="280">
        <f t="shared" si="19"/>
        <v>0</v>
      </c>
      <c r="AY16" s="207"/>
      <c r="AZ16" s="208"/>
      <c r="BA16" s="268">
        <f t="shared" si="20"/>
        <v>3</v>
      </c>
      <c r="BB16" s="211">
        <f t="shared" si="0"/>
        <v>0</v>
      </c>
      <c r="BC16" s="212">
        <f t="shared" si="1"/>
        <v>0</v>
      </c>
      <c r="BD16" s="212">
        <f t="shared" si="2"/>
        <v>0</v>
      </c>
      <c r="BE16" s="212">
        <f t="shared" si="3"/>
        <v>0</v>
      </c>
      <c r="BF16" s="212">
        <f t="shared" si="4"/>
        <v>0</v>
      </c>
      <c r="BG16" s="212">
        <f t="shared" si="5"/>
        <v>0</v>
      </c>
      <c r="BH16" s="234">
        <f t="shared" si="6"/>
        <v>0</v>
      </c>
      <c r="BI16" s="209"/>
      <c r="BJ16" s="209">
        <f t="shared" si="7"/>
        <v>0</v>
      </c>
      <c r="BK16" s="235">
        <f t="shared" si="8"/>
        <v>0</v>
      </c>
      <c r="BL16" s="273">
        <f t="shared" si="21"/>
        <v>3</v>
      </c>
      <c r="BM16" s="201"/>
      <c r="BN16" s="201"/>
      <c r="BO16" s="201"/>
      <c r="BP16" s="201"/>
      <c r="BQ16" s="201"/>
      <c r="BR16" s="201"/>
      <c r="BS16" s="201"/>
      <c r="BT16" s="201"/>
      <c r="BU16" s="201"/>
      <c r="BV16" s="201"/>
      <c r="BW16" s="201"/>
      <c r="BX16" s="201"/>
      <c r="BY16" s="201"/>
      <c r="BZ16" s="201"/>
      <c r="CA16" s="201"/>
      <c r="CB16" s="201"/>
      <c r="CC16" s="201"/>
      <c r="CD16" s="201"/>
      <c r="CE16" s="201"/>
      <c r="CF16" s="201"/>
      <c r="CG16" s="201"/>
      <c r="CH16" s="201"/>
      <c r="CI16" s="201"/>
      <c r="CJ16" s="201"/>
      <c r="CK16" s="201"/>
    </row>
    <row r="17" spans="1:149" s="63" customFormat="1" ht="36">
      <c r="A17" s="228">
        <v>4</v>
      </c>
      <c r="B17" s="190" t="s">
        <v>24</v>
      </c>
      <c r="C17" s="164">
        <v>8304</v>
      </c>
      <c r="D17" s="165" t="s">
        <v>560</v>
      </c>
      <c r="E17" s="166" t="s">
        <v>25</v>
      </c>
      <c r="F17" s="167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9"/>
      <c r="AK17" s="264">
        <f t="shared" si="9"/>
        <v>0</v>
      </c>
      <c r="AL17" s="265">
        <f t="shared" si="10"/>
        <v>0</v>
      </c>
      <c r="AM17" s="266">
        <f t="shared" si="11"/>
        <v>0</v>
      </c>
      <c r="AN17" s="266"/>
      <c r="AO17" s="266">
        <f t="shared" si="12"/>
        <v>0</v>
      </c>
      <c r="AP17" s="266"/>
      <c r="AQ17" s="266">
        <f t="shared" si="13"/>
        <v>0</v>
      </c>
      <c r="AR17" s="266">
        <f t="shared" si="14"/>
        <v>0</v>
      </c>
      <c r="AS17" s="266"/>
      <c r="AT17" s="266">
        <f t="shared" si="15"/>
        <v>0</v>
      </c>
      <c r="AU17" s="266">
        <f t="shared" si="16"/>
        <v>0</v>
      </c>
      <c r="AV17" s="266">
        <f t="shared" si="17"/>
        <v>0</v>
      </c>
      <c r="AW17" s="280">
        <f t="shared" si="18"/>
        <v>0</v>
      </c>
      <c r="AX17" s="280">
        <f t="shared" si="19"/>
        <v>0</v>
      </c>
      <c r="AY17" s="207"/>
      <c r="AZ17" s="208"/>
      <c r="BA17" s="268">
        <f t="shared" si="20"/>
        <v>0</v>
      </c>
      <c r="BB17" s="211">
        <f t="shared" si="0"/>
        <v>0</v>
      </c>
      <c r="BC17" s="212">
        <f t="shared" si="1"/>
        <v>0</v>
      </c>
      <c r="BD17" s="212">
        <f t="shared" si="2"/>
        <v>0</v>
      </c>
      <c r="BE17" s="212">
        <f t="shared" si="3"/>
        <v>0</v>
      </c>
      <c r="BF17" s="212">
        <f t="shared" si="4"/>
        <v>0</v>
      </c>
      <c r="BG17" s="212">
        <f t="shared" si="5"/>
        <v>0</v>
      </c>
      <c r="BH17" s="234">
        <f t="shared" si="6"/>
        <v>0</v>
      </c>
      <c r="BI17" s="209"/>
      <c r="BJ17" s="209">
        <f t="shared" si="7"/>
        <v>0</v>
      </c>
      <c r="BK17" s="235">
        <f t="shared" si="8"/>
        <v>0</v>
      </c>
      <c r="BL17" s="273">
        <f t="shared" si="21"/>
        <v>0</v>
      </c>
      <c r="BM17" s="201"/>
      <c r="BN17" s="201"/>
      <c r="BO17" s="201"/>
      <c r="BP17" s="201"/>
      <c r="BQ17" s="201"/>
      <c r="BR17" s="201"/>
      <c r="BS17" s="201"/>
      <c r="BT17" s="201"/>
      <c r="BU17" s="201"/>
      <c r="BV17" s="201"/>
      <c r="BW17" s="201"/>
      <c r="BX17" s="201"/>
      <c r="BY17" s="201"/>
      <c r="BZ17" s="201"/>
      <c r="CA17" s="201"/>
      <c r="CB17" s="201"/>
      <c r="CC17" s="201"/>
      <c r="CD17" s="201"/>
      <c r="CE17" s="201"/>
      <c r="CF17" s="201"/>
      <c r="CG17" s="201"/>
      <c r="CH17" s="201"/>
      <c r="CI17" s="201"/>
      <c r="CJ17" s="201"/>
      <c r="CK17" s="201"/>
    </row>
    <row r="18" spans="1:149" s="63" customFormat="1" ht="36">
      <c r="A18" s="228">
        <v>5</v>
      </c>
      <c r="B18" s="190" t="s">
        <v>24</v>
      </c>
      <c r="C18" s="164">
        <v>8306</v>
      </c>
      <c r="D18" s="165" t="s">
        <v>245</v>
      </c>
      <c r="E18" s="166" t="s">
        <v>25</v>
      </c>
      <c r="F18" s="167">
        <v>2</v>
      </c>
      <c r="G18" s="168" t="s">
        <v>33</v>
      </c>
      <c r="H18" s="168" t="s">
        <v>193</v>
      </c>
      <c r="I18" s="168">
        <v>2</v>
      </c>
      <c r="J18" s="168">
        <v>2</v>
      </c>
      <c r="K18" s="168">
        <v>2</v>
      </c>
      <c r="L18" s="168" t="s">
        <v>34</v>
      </c>
      <c r="M18" s="168"/>
      <c r="N18" s="168">
        <v>2</v>
      </c>
      <c r="O18" s="168">
        <v>2</v>
      </c>
      <c r="P18" s="168" t="s">
        <v>193</v>
      </c>
      <c r="Q18" s="168" t="s">
        <v>193</v>
      </c>
      <c r="R18" s="168" t="s">
        <v>193</v>
      </c>
      <c r="S18" s="168"/>
      <c r="T18" s="168">
        <v>2</v>
      </c>
      <c r="U18" s="168">
        <v>2</v>
      </c>
      <c r="V18" s="168" t="s">
        <v>193</v>
      </c>
      <c r="W18" s="168">
        <v>1</v>
      </c>
      <c r="X18" s="168">
        <v>1</v>
      </c>
      <c r="Y18" s="168">
        <v>1</v>
      </c>
      <c r="Z18" s="168" t="s">
        <v>27</v>
      </c>
      <c r="AA18" s="168">
        <v>1</v>
      </c>
      <c r="AB18" s="168">
        <v>3</v>
      </c>
      <c r="AC18" s="168"/>
      <c r="AD18" s="168" t="s">
        <v>30</v>
      </c>
      <c r="AE18" s="168">
        <v>2</v>
      </c>
      <c r="AF18" s="168" t="s">
        <v>193</v>
      </c>
      <c r="AG18" s="168" t="s">
        <v>29</v>
      </c>
      <c r="AH18" s="168" t="s">
        <v>35</v>
      </c>
      <c r="AI18" s="168" t="s">
        <v>35</v>
      </c>
      <c r="AJ18" s="169"/>
      <c r="AK18" s="264">
        <f t="shared" si="9"/>
        <v>5</v>
      </c>
      <c r="AL18" s="265">
        <f t="shared" si="10"/>
        <v>0</v>
      </c>
      <c r="AM18" s="266">
        <f t="shared" si="11"/>
        <v>3</v>
      </c>
      <c r="AN18" s="266"/>
      <c r="AO18" s="266">
        <f t="shared" si="12"/>
        <v>0</v>
      </c>
      <c r="AP18" s="266"/>
      <c r="AQ18" s="266">
        <f t="shared" si="13"/>
        <v>9</v>
      </c>
      <c r="AR18" s="266">
        <f t="shared" si="14"/>
        <v>4.5</v>
      </c>
      <c r="AS18" s="266"/>
      <c r="AT18" s="266">
        <f t="shared" si="15"/>
        <v>0</v>
      </c>
      <c r="AU18" s="266">
        <f t="shared" si="16"/>
        <v>2</v>
      </c>
      <c r="AV18" s="266">
        <f t="shared" si="17"/>
        <v>1</v>
      </c>
      <c r="AW18" s="280">
        <f t="shared" si="18"/>
        <v>24.5</v>
      </c>
      <c r="AX18" s="280">
        <f t="shared" si="19"/>
        <v>2</v>
      </c>
      <c r="AY18" s="207"/>
      <c r="AZ18" s="208"/>
      <c r="BA18" s="268">
        <f t="shared" si="20"/>
        <v>26.5</v>
      </c>
      <c r="BB18" s="211">
        <f t="shared" si="0"/>
        <v>0</v>
      </c>
      <c r="BC18" s="212">
        <f t="shared" si="1"/>
        <v>0</v>
      </c>
      <c r="BD18" s="212">
        <f t="shared" si="2"/>
        <v>0</v>
      </c>
      <c r="BE18" s="212">
        <f t="shared" si="3"/>
        <v>0</v>
      </c>
      <c r="BF18" s="212">
        <f t="shared" si="4"/>
        <v>0</v>
      </c>
      <c r="BG18" s="212">
        <f t="shared" si="5"/>
        <v>0</v>
      </c>
      <c r="BH18" s="234">
        <f t="shared" si="6"/>
        <v>0</v>
      </c>
      <c r="BI18" s="209"/>
      <c r="BJ18" s="209">
        <f t="shared" si="7"/>
        <v>0</v>
      </c>
      <c r="BK18" s="235">
        <f t="shared" si="8"/>
        <v>0</v>
      </c>
      <c r="BL18" s="273">
        <f t="shared" si="21"/>
        <v>26.5</v>
      </c>
      <c r="BM18" s="201"/>
      <c r="BN18" s="201"/>
      <c r="BO18" s="201"/>
      <c r="BP18" s="201"/>
      <c r="BQ18" s="201"/>
      <c r="BR18" s="201"/>
      <c r="BS18" s="201"/>
      <c r="BT18" s="201"/>
      <c r="BU18" s="201"/>
      <c r="BV18" s="201"/>
      <c r="BW18" s="201"/>
      <c r="BX18" s="201"/>
      <c r="BY18" s="201"/>
      <c r="BZ18" s="201"/>
      <c r="CA18" s="201"/>
      <c r="CB18" s="201"/>
      <c r="CC18" s="201"/>
      <c r="CD18" s="201"/>
      <c r="CE18" s="201"/>
      <c r="CF18" s="201"/>
      <c r="CG18" s="201"/>
      <c r="CH18" s="201"/>
      <c r="CI18" s="201"/>
      <c r="CJ18" s="201"/>
      <c r="CK18" s="201"/>
    </row>
    <row r="19" spans="1:149" s="63" customFormat="1" ht="22.8">
      <c r="A19" s="228">
        <v>6</v>
      </c>
      <c r="B19" s="190" t="s">
        <v>24</v>
      </c>
      <c r="C19" s="164">
        <v>8307</v>
      </c>
      <c r="D19" s="165" t="s">
        <v>246</v>
      </c>
      <c r="E19" s="166" t="s">
        <v>25</v>
      </c>
      <c r="F19" s="167">
        <v>2</v>
      </c>
      <c r="G19" s="168">
        <v>2</v>
      </c>
      <c r="H19" s="168">
        <v>2</v>
      </c>
      <c r="I19" s="168">
        <v>2</v>
      </c>
      <c r="J19" s="168">
        <v>2</v>
      </c>
      <c r="K19" s="168">
        <v>2</v>
      </c>
      <c r="L19" s="168" t="s">
        <v>193</v>
      </c>
      <c r="M19" s="168">
        <v>2</v>
      </c>
      <c r="N19" s="168" t="s">
        <v>30</v>
      </c>
      <c r="O19" s="168"/>
      <c r="P19" s="168" t="s">
        <v>35</v>
      </c>
      <c r="Q19" s="168"/>
      <c r="R19" s="168">
        <v>2</v>
      </c>
      <c r="S19" s="168">
        <v>2</v>
      </c>
      <c r="T19" s="168">
        <v>2</v>
      </c>
      <c r="U19" s="168">
        <v>2</v>
      </c>
      <c r="V19" s="168"/>
      <c r="W19" s="168"/>
      <c r="X19" s="168"/>
      <c r="Y19" s="168"/>
      <c r="Z19" s="168"/>
      <c r="AA19" s="168"/>
      <c r="AB19" s="168" t="s">
        <v>34</v>
      </c>
      <c r="AC19" s="168" t="s">
        <v>145</v>
      </c>
      <c r="AD19" s="168" t="s">
        <v>34</v>
      </c>
      <c r="AE19" s="168"/>
      <c r="AF19" s="168" t="s">
        <v>34</v>
      </c>
      <c r="AG19" s="168" t="s">
        <v>34</v>
      </c>
      <c r="AH19" s="168"/>
      <c r="AI19" s="168">
        <v>3</v>
      </c>
      <c r="AJ19" s="169"/>
      <c r="AK19" s="264">
        <f t="shared" si="9"/>
        <v>0</v>
      </c>
      <c r="AL19" s="265">
        <f t="shared" si="10"/>
        <v>0</v>
      </c>
      <c r="AM19" s="266">
        <f t="shared" si="11"/>
        <v>0.5</v>
      </c>
      <c r="AN19" s="266"/>
      <c r="AO19" s="266">
        <f t="shared" si="12"/>
        <v>0</v>
      </c>
      <c r="AP19" s="266"/>
      <c r="AQ19" s="266">
        <f t="shared" si="13"/>
        <v>11</v>
      </c>
      <c r="AR19" s="266">
        <f t="shared" si="14"/>
        <v>1</v>
      </c>
      <c r="AS19" s="266"/>
      <c r="AT19" s="266">
        <f t="shared" si="15"/>
        <v>0</v>
      </c>
      <c r="AU19" s="266">
        <f t="shared" si="16"/>
        <v>3</v>
      </c>
      <c r="AV19" s="266">
        <f t="shared" si="17"/>
        <v>0</v>
      </c>
      <c r="AW19" s="280">
        <f t="shared" si="18"/>
        <v>15.5</v>
      </c>
      <c r="AX19" s="280">
        <f t="shared" si="19"/>
        <v>5</v>
      </c>
      <c r="AY19" s="207"/>
      <c r="AZ19" s="208"/>
      <c r="BA19" s="268">
        <f t="shared" si="20"/>
        <v>20.5</v>
      </c>
      <c r="BB19" s="211">
        <f t="shared" si="0"/>
        <v>0</v>
      </c>
      <c r="BC19" s="212">
        <f t="shared" si="1"/>
        <v>0</v>
      </c>
      <c r="BD19" s="212">
        <f t="shared" si="2"/>
        <v>0</v>
      </c>
      <c r="BE19" s="212">
        <f t="shared" si="3"/>
        <v>0</v>
      </c>
      <c r="BF19" s="212">
        <f t="shared" si="4"/>
        <v>0</v>
      </c>
      <c r="BG19" s="212">
        <f t="shared" si="5"/>
        <v>0</v>
      </c>
      <c r="BH19" s="234">
        <f t="shared" si="6"/>
        <v>0</v>
      </c>
      <c r="BI19" s="209"/>
      <c r="BJ19" s="209">
        <f t="shared" si="7"/>
        <v>0</v>
      </c>
      <c r="BK19" s="235">
        <f t="shared" si="8"/>
        <v>0</v>
      </c>
      <c r="BL19" s="273">
        <f t="shared" si="21"/>
        <v>20.5</v>
      </c>
      <c r="BM19" s="201"/>
      <c r="BN19" s="201"/>
      <c r="BO19" s="201"/>
      <c r="BP19" s="201"/>
      <c r="BQ19" s="201"/>
      <c r="BR19" s="201"/>
      <c r="BS19" s="201"/>
      <c r="BT19" s="201"/>
      <c r="BU19" s="201"/>
      <c r="BV19" s="201"/>
      <c r="BW19" s="201"/>
      <c r="BX19" s="201"/>
      <c r="BY19" s="201"/>
      <c r="BZ19" s="201"/>
      <c r="CA19" s="201"/>
      <c r="CB19" s="201"/>
      <c r="CC19" s="201"/>
      <c r="CD19" s="201"/>
      <c r="CE19" s="201"/>
      <c r="CF19" s="201"/>
      <c r="CG19" s="201"/>
      <c r="CH19" s="201"/>
      <c r="CI19" s="201"/>
      <c r="CJ19" s="201"/>
      <c r="CK19" s="201"/>
    </row>
    <row r="20" spans="1:149" s="63" customFormat="1" ht="54">
      <c r="A20" s="228">
        <v>7</v>
      </c>
      <c r="B20" s="190" t="s">
        <v>24</v>
      </c>
      <c r="C20" s="164">
        <v>8309</v>
      </c>
      <c r="D20" s="165" t="s">
        <v>247</v>
      </c>
      <c r="E20" s="166" t="s">
        <v>25</v>
      </c>
      <c r="F20" s="167">
        <v>2</v>
      </c>
      <c r="G20" s="168">
        <v>2</v>
      </c>
      <c r="H20" s="168">
        <v>2</v>
      </c>
      <c r="I20" s="168">
        <v>2</v>
      </c>
      <c r="J20" s="168">
        <v>2</v>
      </c>
      <c r="K20" s="168"/>
      <c r="L20" s="168" t="s">
        <v>32</v>
      </c>
      <c r="M20" s="168">
        <v>2</v>
      </c>
      <c r="N20" s="168" t="s">
        <v>30</v>
      </c>
      <c r="O20" s="168" t="s">
        <v>30</v>
      </c>
      <c r="P20" s="168"/>
      <c r="Q20" s="168">
        <v>1</v>
      </c>
      <c r="R20" s="168" t="s">
        <v>27</v>
      </c>
      <c r="S20" s="168" t="s">
        <v>34</v>
      </c>
      <c r="T20" s="168">
        <v>3</v>
      </c>
      <c r="U20" s="168"/>
      <c r="V20" s="168">
        <v>2</v>
      </c>
      <c r="W20" s="168" t="s">
        <v>193</v>
      </c>
      <c r="X20" s="168">
        <v>2</v>
      </c>
      <c r="Y20" s="168" t="s">
        <v>193</v>
      </c>
      <c r="Z20" s="168" t="s">
        <v>29</v>
      </c>
      <c r="AA20" s="168"/>
      <c r="AB20" s="168" t="s">
        <v>30</v>
      </c>
      <c r="AC20" s="168">
        <v>2</v>
      </c>
      <c r="AD20" s="168">
        <v>2</v>
      </c>
      <c r="AE20" s="168" t="s">
        <v>561</v>
      </c>
      <c r="AF20" s="168" t="s">
        <v>193</v>
      </c>
      <c r="AG20" s="168">
        <v>1</v>
      </c>
      <c r="AH20" s="168"/>
      <c r="AI20" s="168" t="s">
        <v>561</v>
      </c>
      <c r="AJ20" s="169"/>
      <c r="AK20" s="264">
        <f t="shared" si="9"/>
        <v>3</v>
      </c>
      <c r="AL20" s="265">
        <f t="shared" si="10"/>
        <v>0</v>
      </c>
      <c r="AM20" s="266">
        <f t="shared" si="11"/>
        <v>2</v>
      </c>
      <c r="AN20" s="266"/>
      <c r="AO20" s="266">
        <f t="shared" si="12"/>
        <v>0</v>
      </c>
      <c r="AP20" s="266"/>
      <c r="AQ20" s="266">
        <f t="shared" si="13"/>
        <v>11</v>
      </c>
      <c r="AR20" s="266">
        <f t="shared" si="14"/>
        <v>3.5</v>
      </c>
      <c r="AS20" s="266"/>
      <c r="AT20" s="266">
        <f t="shared" si="15"/>
        <v>0</v>
      </c>
      <c r="AU20" s="266">
        <f t="shared" si="16"/>
        <v>2</v>
      </c>
      <c r="AV20" s="266">
        <f t="shared" si="17"/>
        <v>1</v>
      </c>
      <c r="AW20" s="280">
        <f t="shared" si="18"/>
        <v>22.5</v>
      </c>
      <c r="AX20" s="280">
        <f t="shared" si="19"/>
        <v>2</v>
      </c>
      <c r="AY20" s="207"/>
      <c r="AZ20" s="208"/>
      <c r="BA20" s="268">
        <f t="shared" si="20"/>
        <v>24.5</v>
      </c>
      <c r="BB20" s="211">
        <f t="shared" si="0"/>
        <v>0</v>
      </c>
      <c r="BC20" s="212">
        <f t="shared" si="1"/>
        <v>0</v>
      </c>
      <c r="BD20" s="212">
        <f t="shared" si="2"/>
        <v>0</v>
      </c>
      <c r="BE20" s="212">
        <f t="shared" si="3"/>
        <v>0</v>
      </c>
      <c r="BF20" s="212">
        <f t="shared" si="4"/>
        <v>0</v>
      </c>
      <c r="BG20" s="212">
        <f t="shared" si="5"/>
        <v>0</v>
      </c>
      <c r="BH20" s="234">
        <f t="shared" si="6"/>
        <v>0</v>
      </c>
      <c r="BI20" s="209"/>
      <c r="BJ20" s="209">
        <f t="shared" si="7"/>
        <v>0</v>
      </c>
      <c r="BK20" s="235">
        <f t="shared" si="8"/>
        <v>0</v>
      </c>
      <c r="BL20" s="273">
        <f t="shared" si="21"/>
        <v>24.5</v>
      </c>
      <c r="BM20" s="201"/>
      <c r="BN20" s="201"/>
      <c r="BO20" s="201"/>
      <c r="BP20" s="201"/>
      <c r="BQ20" s="201"/>
      <c r="BR20" s="201"/>
      <c r="BS20" s="201"/>
      <c r="BT20" s="201"/>
      <c r="BU20" s="201"/>
      <c r="BV20" s="201"/>
      <c r="BW20" s="201"/>
      <c r="BX20" s="201"/>
      <c r="BY20" s="201"/>
      <c r="BZ20" s="201"/>
      <c r="CA20" s="201"/>
      <c r="CB20" s="201"/>
      <c r="CC20" s="201"/>
      <c r="CD20" s="201"/>
      <c r="CE20" s="201"/>
      <c r="CF20" s="201"/>
      <c r="CG20" s="201"/>
      <c r="CH20" s="201"/>
      <c r="CI20" s="201"/>
      <c r="CJ20" s="201"/>
      <c r="CK20" s="201"/>
    </row>
    <row r="21" spans="1:149" s="63" customFormat="1" ht="36">
      <c r="A21" s="228">
        <v>8</v>
      </c>
      <c r="B21" s="190" t="s">
        <v>24</v>
      </c>
      <c r="C21" s="164">
        <v>8311</v>
      </c>
      <c r="D21" s="165" t="s">
        <v>305</v>
      </c>
      <c r="E21" s="166" t="s">
        <v>25</v>
      </c>
      <c r="F21" s="167">
        <v>2</v>
      </c>
      <c r="G21" s="168">
        <v>2</v>
      </c>
      <c r="H21" s="168">
        <v>2</v>
      </c>
      <c r="I21" s="168">
        <v>2</v>
      </c>
      <c r="J21" s="168" t="s">
        <v>32</v>
      </c>
      <c r="K21" s="168"/>
      <c r="L21" s="168" t="s">
        <v>27</v>
      </c>
      <c r="M21" s="168"/>
      <c r="N21" s="168" t="s">
        <v>35</v>
      </c>
      <c r="O21" s="168" t="s">
        <v>32</v>
      </c>
      <c r="P21" s="168">
        <v>2</v>
      </c>
      <c r="Q21" s="168">
        <v>2</v>
      </c>
      <c r="R21" s="168"/>
      <c r="S21" s="168" t="s">
        <v>32</v>
      </c>
      <c r="T21" s="168" t="s">
        <v>33</v>
      </c>
      <c r="U21" s="168" t="s">
        <v>29</v>
      </c>
      <c r="V21" s="168" t="s">
        <v>29</v>
      </c>
      <c r="W21" s="168" t="s">
        <v>193</v>
      </c>
      <c r="X21" s="168" t="s">
        <v>30</v>
      </c>
      <c r="Y21" s="168" t="s">
        <v>193</v>
      </c>
      <c r="Z21" s="168" t="s">
        <v>29</v>
      </c>
      <c r="AA21" s="168"/>
      <c r="AB21" s="168" t="s">
        <v>30</v>
      </c>
      <c r="AC21" s="168">
        <v>2</v>
      </c>
      <c r="AD21" s="168">
        <v>2</v>
      </c>
      <c r="AE21" s="168" t="s">
        <v>193</v>
      </c>
      <c r="AF21" s="168"/>
      <c r="AG21" s="168" t="s">
        <v>27</v>
      </c>
      <c r="AH21" s="168"/>
      <c r="AI21" s="168"/>
      <c r="AJ21" s="169"/>
      <c r="AK21" s="264">
        <f t="shared" si="9"/>
        <v>2</v>
      </c>
      <c r="AL21" s="265">
        <f t="shared" si="10"/>
        <v>0</v>
      </c>
      <c r="AM21" s="266">
        <f t="shared" si="11"/>
        <v>3</v>
      </c>
      <c r="AN21" s="266"/>
      <c r="AO21" s="266">
        <f t="shared" si="12"/>
        <v>0</v>
      </c>
      <c r="AP21" s="266"/>
      <c r="AQ21" s="266">
        <f t="shared" si="13"/>
        <v>11</v>
      </c>
      <c r="AR21" s="266">
        <f t="shared" si="14"/>
        <v>4</v>
      </c>
      <c r="AS21" s="266"/>
      <c r="AT21" s="266">
        <f t="shared" si="15"/>
        <v>0</v>
      </c>
      <c r="AU21" s="266">
        <f t="shared" si="16"/>
        <v>1.5</v>
      </c>
      <c r="AV21" s="266">
        <f t="shared" si="17"/>
        <v>3</v>
      </c>
      <c r="AW21" s="280">
        <f t="shared" si="18"/>
        <v>24.5</v>
      </c>
      <c r="AX21" s="280">
        <f t="shared" si="19"/>
        <v>0</v>
      </c>
      <c r="AY21" s="207"/>
      <c r="AZ21" s="208"/>
      <c r="BA21" s="268">
        <f t="shared" si="20"/>
        <v>24.5</v>
      </c>
      <c r="BB21" s="211">
        <f t="shared" si="0"/>
        <v>0</v>
      </c>
      <c r="BC21" s="212">
        <f t="shared" si="1"/>
        <v>0</v>
      </c>
      <c r="BD21" s="212">
        <f t="shared" si="2"/>
        <v>0</v>
      </c>
      <c r="BE21" s="212">
        <f t="shared" si="3"/>
        <v>0</v>
      </c>
      <c r="BF21" s="212">
        <f t="shared" si="4"/>
        <v>0</v>
      </c>
      <c r="BG21" s="212">
        <f t="shared" si="5"/>
        <v>0</v>
      </c>
      <c r="BH21" s="234">
        <f t="shared" si="6"/>
        <v>0</v>
      </c>
      <c r="BI21" s="209"/>
      <c r="BJ21" s="209">
        <f t="shared" si="7"/>
        <v>0</v>
      </c>
      <c r="BK21" s="235">
        <f t="shared" si="8"/>
        <v>0</v>
      </c>
      <c r="BL21" s="273">
        <f t="shared" si="21"/>
        <v>24.5</v>
      </c>
      <c r="BM21" s="201"/>
      <c r="BN21" s="201"/>
      <c r="BO21" s="201"/>
      <c r="BP21" s="201"/>
      <c r="BQ21" s="201"/>
      <c r="BR21" s="201"/>
      <c r="BS21" s="201"/>
      <c r="BT21" s="201"/>
      <c r="BU21" s="201"/>
      <c r="BV21" s="201"/>
      <c r="BW21" s="201"/>
      <c r="BX21" s="201"/>
      <c r="BY21" s="201"/>
      <c r="BZ21" s="201"/>
      <c r="CA21" s="201"/>
      <c r="CB21" s="201"/>
      <c r="CC21" s="201"/>
      <c r="CD21" s="201"/>
      <c r="CE21" s="201"/>
      <c r="CF21" s="201"/>
      <c r="CG21" s="201"/>
      <c r="CH21" s="201"/>
      <c r="CI21" s="201"/>
      <c r="CJ21" s="201"/>
      <c r="CK21" s="201"/>
    </row>
    <row r="22" spans="1:149" s="63" customFormat="1" ht="22.8">
      <c r="A22" s="228">
        <v>9</v>
      </c>
      <c r="B22" s="190" t="s">
        <v>24</v>
      </c>
      <c r="C22" s="164">
        <v>8313</v>
      </c>
      <c r="D22" s="165" t="s">
        <v>562</v>
      </c>
      <c r="E22" s="166" t="s">
        <v>25</v>
      </c>
      <c r="F22" s="167" t="s">
        <v>35</v>
      </c>
      <c r="G22" s="168"/>
      <c r="H22" s="168">
        <v>2</v>
      </c>
      <c r="I22" s="168" t="s">
        <v>35</v>
      </c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9"/>
      <c r="AK22" s="264">
        <f t="shared" si="9"/>
        <v>0</v>
      </c>
      <c r="AL22" s="265">
        <f t="shared" si="10"/>
        <v>0</v>
      </c>
      <c r="AM22" s="266">
        <f t="shared" si="11"/>
        <v>0</v>
      </c>
      <c r="AN22" s="266"/>
      <c r="AO22" s="266">
        <f t="shared" si="12"/>
        <v>0</v>
      </c>
      <c r="AP22" s="266"/>
      <c r="AQ22" s="266">
        <f t="shared" si="13"/>
        <v>1</v>
      </c>
      <c r="AR22" s="266">
        <f t="shared" si="14"/>
        <v>0</v>
      </c>
      <c r="AS22" s="266"/>
      <c r="AT22" s="266">
        <f t="shared" si="15"/>
        <v>0</v>
      </c>
      <c r="AU22" s="266">
        <f t="shared" si="16"/>
        <v>1</v>
      </c>
      <c r="AV22" s="266">
        <f t="shared" si="17"/>
        <v>0</v>
      </c>
      <c r="AW22" s="280">
        <f t="shared" si="18"/>
        <v>2</v>
      </c>
      <c r="AX22" s="280">
        <f t="shared" si="19"/>
        <v>0</v>
      </c>
      <c r="AY22" s="207"/>
      <c r="AZ22" s="208"/>
      <c r="BA22" s="268">
        <f t="shared" si="20"/>
        <v>2</v>
      </c>
      <c r="BB22" s="211">
        <f t="shared" si="0"/>
        <v>0</v>
      </c>
      <c r="BC22" s="212">
        <f t="shared" si="1"/>
        <v>0</v>
      </c>
      <c r="BD22" s="212">
        <f t="shared" si="2"/>
        <v>0</v>
      </c>
      <c r="BE22" s="212">
        <f t="shared" si="3"/>
        <v>0</v>
      </c>
      <c r="BF22" s="212">
        <f t="shared" si="4"/>
        <v>0</v>
      </c>
      <c r="BG22" s="212">
        <f t="shared" si="5"/>
        <v>0</v>
      </c>
      <c r="BH22" s="234">
        <f t="shared" si="6"/>
        <v>0</v>
      </c>
      <c r="BI22" s="209"/>
      <c r="BJ22" s="209">
        <f t="shared" si="7"/>
        <v>0</v>
      </c>
      <c r="BK22" s="235">
        <f t="shared" si="8"/>
        <v>0</v>
      </c>
      <c r="BL22" s="273">
        <f t="shared" si="21"/>
        <v>2</v>
      </c>
      <c r="BM22" s="201"/>
      <c r="BN22" s="201"/>
      <c r="BO22" s="201"/>
      <c r="BP22" s="201"/>
      <c r="BQ22" s="201"/>
      <c r="BR22" s="201"/>
      <c r="BS22" s="201"/>
      <c r="BT22" s="201"/>
      <c r="BU22" s="201"/>
      <c r="BV22" s="201"/>
      <c r="BW22" s="201"/>
      <c r="BX22" s="201"/>
      <c r="BY22" s="201"/>
      <c r="BZ22" s="201"/>
      <c r="CA22" s="201"/>
      <c r="CB22" s="201"/>
      <c r="CC22" s="201"/>
      <c r="CD22" s="201"/>
      <c r="CE22" s="201"/>
      <c r="CF22" s="201"/>
      <c r="CG22" s="201"/>
      <c r="CH22" s="201"/>
      <c r="CI22" s="201"/>
      <c r="CJ22" s="201"/>
      <c r="CK22" s="201"/>
      <c r="CV22" s="201"/>
      <c r="CW22" s="201"/>
      <c r="CX22" s="201"/>
      <c r="CY22" s="201"/>
      <c r="CZ22" s="201"/>
      <c r="DA22" s="201"/>
      <c r="DB22" s="201"/>
      <c r="DC22" s="201"/>
      <c r="DD22" s="201"/>
      <c r="DE22" s="201"/>
      <c r="DF22" s="201"/>
      <c r="DG22" s="201"/>
      <c r="DH22" s="201"/>
      <c r="DI22" s="201"/>
      <c r="DJ22" s="201"/>
      <c r="DK22" s="201"/>
      <c r="DL22" s="201"/>
      <c r="DM22" s="201"/>
      <c r="DN22" s="201"/>
      <c r="DO22" s="201"/>
      <c r="DP22" s="201"/>
      <c r="DQ22" s="201"/>
      <c r="DR22" s="201"/>
      <c r="DS22" s="201"/>
      <c r="DT22" s="201"/>
      <c r="DU22" s="201"/>
      <c r="DV22" s="201"/>
      <c r="DW22" s="201"/>
      <c r="DX22" s="201"/>
      <c r="DY22" s="201"/>
      <c r="DZ22" s="201"/>
      <c r="EA22" s="201"/>
      <c r="EB22" s="201"/>
      <c r="EC22" s="201"/>
      <c r="ED22" s="201"/>
      <c r="EE22" s="201"/>
      <c r="EF22" s="201"/>
      <c r="EG22" s="201"/>
      <c r="EH22" s="201"/>
      <c r="EI22" s="201"/>
      <c r="EJ22" s="201"/>
      <c r="EK22" s="201"/>
      <c r="EL22" s="201"/>
      <c r="EM22" s="201"/>
      <c r="EN22" s="201"/>
      <c r="EO22" s="201"/>
      <c r="EP22" s="201"/>
      <c r="EQ22" s="201"/>
      <c r="ER22" s="201"/>
      <c r="ES22" s="201"/>
    </row>
    <row r="23" spans="1:149" s="63" customFormat="1" ht="36">
      <c r="A23" s="228">
        <v>10</v>
      </c>
      <c r="B23" s="190" t="s">
        <v>24</v>
      </c>
      <c r="C23" s="164">
        <v>8316</v>
      </c>
      <c r="D23" s="165" t="s">
        <v>36</v>
      </c>
      <c r="E23" s="170" t="s">
        <v>25</v>
      </c>
      <c r="F23" s="167" t="s">
        <v>193</v>
      </c>
      <c r="G23" s="168" t="s">
        <v>30</v>
      </c>
      <c r="H23" s="168">
        <v>2</v>
      </c>
      <c r="I23" s="168">
        <v>2</v>
      </c>
      <c r="J23" s="168" t="s">
        <v>193</v>
      </c>
      <c r="K23" s="168" t="s">
        <v>35</v>
      </c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9"/>
      <c r="AK23" s="264">
        <f t="shared" si="9"/>
        <v>0</v>
      </c>
      <c r="AL23" s="265">
        <f t="shared" si="10"/>
        <v>0</v>
      </c>
      <c r="AM23" s="266">
        <f t="shared" si="11"/>
        <v>1</v>
      </c>
      <c r="AN23" s="266"/>
      <c r="AO23" s="266">
        <f t="shared" si="12"/>
        <v>0</v>
      </c>
      <c r="AP23" s="266"/>
      <c r="AQ23" s="266">
        <f t="shared" si="13"/>
        <v>2</v>
      </c>
      <c r="AR23" s="266">
        <f t="shared" si="14"/>
        <v>1.5</v>
      </c>
      <c r="AS23" s="266"/>
      <c r="AT23" s="266">
        <f t="shared" si="15"/>
        <v>0</v>
      </c>
      <c r="AU23" s="266">
        <f t="shared" si="16"/>
        <v>1</v>
      </c>
      <c r="AV23" s="266">
        <f t="shared" si="17"/>
        <v>0</v>
      </c>
      <c r="AW23" s="280">
        <f t="shared" si="18"/>
        <v>5.5</v>
      </c>
      <c r="AX23" s="280">
        <f t="shared" si="19"/>
        <v>0</v>
      </c>
      <c r="AY23" s="207"/>
      <c r="AZ23" s="208"/>
      <c r="BA23" s="268">
        <f t="shared" si="20"/>
        <v>5.5</v>
      </c>
      <c r="BB23" s="211">
        <f t="shared" si="0"/>
        <v>0</v>
      </c>
      <c r="BC23" s="212">
        <f t="shared" si="1"/>
        <v>0</v>
      </c>
      <c r="BD23" s="212">
        <f t="shared" si="2"/>
        <v>0</v>
      </c>
      <c r="BE23" s="212">
        <f t="shared" si="3"/>
        <v>0</v>
      </c>
      <c r="BF23" s="212">
        <f t="shared" si="4"/>
        <v>0</v>
      </c>
      <c r="BG23" s="212">
        <f t="shared" si="5"/>
        <v>0</v>
      </c>
      <c r="BH23" s="234">
        <f t="shared" si="6"/>
        <v>0</v>
      </c>
      <c r="BI23" s="209"/>
      <c r="BJ23" s="209">
        <f t="shared" si="7"/>
        <v>0</v>
      </c>
      <c r="BK23" s="235">
        <f t="shared" si="8"/>
        <v>0</v>
      </c>
      <c r="BL23" s="273">
        <f t="shared" si="21"/>
        <v>5.5</v>
      </c>
      <c r="BM23" s="201"/>
      <c r="BN23" s="201"/>
      <c r="BO23" s="201"/>
      <c r="BP23" s="201"/>
      <c r="BQ23" s="201"/>
      <c r="BR23" s="201"/>
      <c r="BS23" s="201"/>
      <c r="BT23" s="201"/>
      <c r="BU23" s="201"/>
      <c r="BV23" s="201"/>
      <c r="BW23" s="201"/>
      <c r="BX23" s="201"/>
      <c r="BY23" s="201"/>
      <c r="BZ23" s="201"/>
      <c r="CA23" s="201"/>
      <c r="CB23" s="201"/>
      <c r="CC23" s="201"/>
      <c r="CD23" s="201"/>
      <c r="CE23" s="201"/>
      <c r="CF23" s="201"/>
      <c r="CG23" s="201"/>
      <c r="CH23" s="201"/>
      <c r="CI23" s="201"/>
      <c r="CJ23" s="201"/>
      <c r="CK23" s="201"/>
      <c r="CV23" s="201"/>
      <c r="CW23" s="201"/>
      <c r="CX23" s="201"/>
      <c r="CY23" s="201"/>
      <c r="CZ23" s="201"/>
      <c r="DA23" s="201"/>
      <c r="DB23" s="201"/>
      <c r="DC23" s="201"/>
      <c r="DD23" s="201"/>
      <c r="DE23" s="201"/>
      <c r="DF23" s="201"/>
      <c r="DG23" s="201"/>
      <c r="DH23" s="201"/>
      <c r="DI23" s="201"/>
      <c r="DJ23" s="201"/>
      <c r="DK23" s="201"/>
      <c r="DL23" s="201"/>
      <c r="DM23" s="201"/>
      <c r="DN23" s="201"/>
      <c r="DO23" s="201"/>
      <c r="DP23" s="201"/>
      <c r="DQ23" s="201"/>
      <c r="DR23" s="201"/>
      <c r="DS23" s="201"/>
      <c r="DT23" s="201"/>
      <c r="DU23" s="201"/>
      <c r="DV23" s="201"/>
      <c r="DW23" s="201"/>
      <c r="DX23" s="201"/>
      <c r="DY23" s="201"/>
      <c r="DZ23" s="201"/>
      <c r="EA23" s="201"/>
      <c r="EB23" s="201"/>
      <c r="EC23" s="201"/>
      <c r="ED23" s="201"/>
      <c r="EE23" s="201"/>
      <c r="EF23" s="201"/>
      <c r="EG23" s="201"/>
      <c r="EH23" s="201"/>
      <c r="EI23" s="201"/>
      <c r="EJ23" s="201"/>
      <c r="EK23" s="201"/>
      <c r="EL23" s="201"/>
      <c r="EM23" s="201"/>
      <c r="EN23" s="201"/>
      <c r="EO23" s="201"/>
      <c r="EP23" s="201"/>
      <c r="EQ23" s="201"/>
      <c r="ER23" s="201"/>
      <c r="ES23" s="201"/>
    </row>
    <row r="24" spans="1:149" s="63" customFormat="1" ht="36">
      <c r="A24" s="228">
        <v>11</v>
      </c>
      <c r="B24" s="190" t="s">
        <v>24</v>
      </c>
      <c r="C24" s="164">
        <v>8318</v>
      </c>
      <c r="D24" s="165" t="s">
        <v>563</v>
      </c>
      <c r="E24" s="170" t="s">
        <v>25</v>
      </c>
      <c r="F24" s="167"/>
      <c r="G24" s="168" t="s">
        <v>257</v>
      </c>
      <c r="H24" s="168" t="s">
        <v>257</v>
      </c>
      <c r="I24" s="168" t="s">
        <v>257</v>
      </c>
      <c r="J24" s="168" t="s">
        <v>257</v>
      </c>
      <c r="K24" s="168" t="s">
        <v>257</v>
      </c>
      <c r="L24" s="168"/>
      <c r="M24" s="168" t="s">
        <v>257</v>
      </c>
      <c r="N24" s="168" t="s">
        <v>257</v>
      </c>
      <c r="O24" s="168"/>
      <c r="P24" s="168" t="s">
        <v>257</v>
      </c>
      <c r="Q24" s="168" t="s">
        <v>257</v>
      </c>
      <c r="R24" s="168" t="s">
        <v>257</v>
      </c>
      <c r="S24" s="168"/>
      <c r="T24" s="168" t="s">
        <v>257</v>
      </c>
      <c r="U24" s="168" t="s">
        <v>564</v>
      </c>
      <c r="V24" s="168"/>
      <c r="W24" s="168" t="s">
        <v>257</v>
      </c>
      <c r="X24" s="168" t="s">
        <v>257</v>
      </c>
      <c r="Y24" s="168" t="s">
        <v>257</v>
      </c>
      <c r="Z24" s="168"/>
      <c r="AA24" s="168" t="s">
        <v>257</v>
      </c>
      <c r="AB24" s="168" t="s">
        <v>257</v>
      </c>
      <c r="AC24" s="168" t="s">
        <v>257</v>
      </c>
      <c r="AD24" s="168" t="s">
        <v>257</v>
      </c>
      <c r="AE24" s="168" t="s">
        <v>257</v>
      </c>
      <c r="AF24" s="168" t="s">
        <v>257</v>
      </c>
      <c r="AG24" s="168"/>
      <c r="AH24" s="168" t="s">
        <v>257</v>
      </c>
      <c r="AI24" s="168" t="s">
        <v>257</v>
      </c>
      <c r="AJ24" s="169"/>
      <c r="AK24" s="264">
        <f t="shared" si="9"/>
        <v>0</v>
      </c>
      <c r="AL24" s="265">
        <f t="shared" si="10"/>
        <v>0</v>
      </c>
      <c r="AM24" s="266">
        <f t="shared" si="11"/>
        <v>0</v>
      </c>
      <c r="AN24" s="266"/>
      <c r="AO24" s="266">
        <f t="shared" si="12"/>
        <v>0</v>
      </c>
      <c r="AP24" s="266"/>
      <c r="AQ24" s="266">
        <f t="shared" si="13"/>
        <v>0</v>
      </c>
      <c r="AR24" s="266">
        <f t="shared" si="14"/>
        <v>0</v>
      </c>
      <c r="AS24" s="266"/>
      <c r="AT24" s="266">
        <f t="shared" si="15"/>
        <v>0</v>
      </c>
      <c r="AU24" s="266">
        <f t="shared" si="16"/>
        <v>0</v>
      </c>
      <c r="AV24" s="266">
        <f t="shared" si="17"/>
        <v>0</v>
      </c>
      <c r="AW24" s="280">
        <f t="shared" si="18"/>
        <v>0</v>
      </c>
      <c r="AX24" s="280">
        <f t="shared" si="19"/>
        <v>0</v>
      </c>
      <c r="AY24" s="207"/>
      <c r="AZ24" s="208"/>
      <c r="BA24" s="268">
        <f t="shared" si="20"/>
        <v>0</v>
      </c>
      <c r="BB24" s="211">
        <f t="shared" si="0"/>
        <v>0</v>
      </c>
      <c r="BC24" s="212">
        <f t="shared" si="1"/>
        <v>0</v>
      </c>
      <c r="BD24" s="212">
        <f t="shared" si="2"/>
        <v>0</v>
      </c>
      <c r="BE24" s="212">
        <f t="shared" si="3"/>
        <v>0</v>
      </c>
      <c r="BF24" s="212">
        <f t="shared" si="4"/>
        <v>0</v>
      </c>
      <c r="BG24" s="212">
        <f t="shared" si="5"/>
        <v>0</v>
      </c>
      <c r="BH24" s="234">
        <f t="shared" si="6"/>
        <v>0</v>
      </c>
      <c r="BI24" s="209"/>
      <c r="BJ24" s="209">
        <f t="shared" si="7"/>
        <v>0</v>
      </c>
      <c r="BK24" s="235">
        <f t="shared" si="8"/>
        <v>0</v>
      </c>
      <c r="BL24" s="273">
        <f t="shared" si="21"/>
        <v>0</v>
      </c>
      <c r="BM24" s="201"/>
      <c r="BN24" s="201"/>
      <c r="BO24" s="201"/>
      <c r="BP24" s="201"/>
      <c r="BQ24" s="201"/>
      <c r="BR24" s="201"/>
      <c r="BS24" s="201"/>
      <c r="BT24" s="201"/>
      <c r="BU24" s="201"/>
      <c r="BV24" s="201"/>
      <c r="BW24" s="201"/>
      <c r="BX24" s="201"/>
      <c r="BY24" s="201"/>
      <c r="BZ24" s="201"/>
      <c r="CA24" s="201"/>
      <c r="CB24" s="201"/>
      <c r="CC24" s="201"/>
      <c r="CD24" s="201"/>
      <c r="CE24" s="201"/>
      <c r="CF24" s="201"/>
      <c r="CG24" s="201"/>
      <c r="CH24" s="201"/>
      <c r="CI24" s="201"/>
      <c r="CJ24" s="201"/>
      <c r="CK24" s="201"/>
      <c r="CV24" s="201"/>
      <c r="CW24" s="201"/>
      <c r="CX24" s="201"/>
      <c r="CY24" s="201"/>
      <c r="CZ24" s="201"/>
      <c r="DA24" s="201"/>
      <c r="DB24" s="201"/>
      <c r="DC24" s="201"/>
      <c r="DD24" s="201"/>
      <c r="DE24" s="201"/>
      <c r="DF24" s="201"/>
      <c r="DG24" s="201"/>
      <c r="DH24" s="201"/>
      <c r="DI24" s="201"/>
      <c r="DJ24" s="201"/>
      <c r="DK24" s="201"/>
      <c r="DL24" s="201"/>
      <c r="DM24" s="201"/>
      <c r="DN24" s="201"/>
      <c r="DO24" s="201"/>
      <c r="DP24" s="201"/>
      <c r="DQ24" s="201"/>
      <c r="DR24" s="201"/>
      <c r="DS24" s="201"/>
      <c r="DT24" s="201"/>
      <c r="DU24" s="201"/>
      <c r="DV24" s="201"/>
      <c r="DW24" s="201"/>
      <c r="DX24" s="201"/>
      <c r="DY24" s="201"/>
      <c r="DZ24" s="201"/>
      <c r="EA24" s="201"/>
      <c r="EB24" s="201"/>
      <c r="EC24" s="201"/>
      <c r="ED24" s="201"/>
      <c r="EE24" s="201"/>
      <c r="EF24" s="201"/>
      <c r="EG24" s="201"/>
      <c r="EH24" s="201"/>
      <c r="EI24" s="201"/>
      <c r="EJ24" s="201"/>
      <c r="EK24" s="201"/>
      <c r="EL24" s="201"/>
      <c r="EM24" s="201"/>
      <c r="EN24" s="201"/>
      <c r="EO24" s="201"/>
      <c r="EP24" s="201"/>
      <c r="EQ24" s="201"/>
      <c r="ER24" s="201"/>
      <c r="ES24" s="201"/>
    </row>
    <row r="25" spans="1:149" s="63" customFormat="1" ht="36">
      <c r="A25" s="228">
        <v>12</v>
      </c>
      <c r="B25" s="190" t="s">
        <v>24</v>
      </c>
      <c r="C25" s="164">
        <v>8319</v>
      </c>
      <c r="D25" s="165" t="s">
        <v>307</v>
      </c>
      <c r="E25" s="170" t="s">
        <v>25</v>
      </c>
      <c r="F25" s="167" t="s">
        <v>30</v>
      </c>
      <c r="G25" s="168" t="s">
        <v>30</v>
      </c>
      <c r="H25" s="168" t="s">
        <v>34</v>
      </c>
      <c r="I25" s="168" t="s">
        <v>34</v>
      </c>
      <c r="J25" s="168" t="s">
        <v>34</v>
      </c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9"/>
      <c r="AK25" s="264">
        <f t="shared" si="9"/>
        <v>0</v>
      </c>
      <c r="AL25" s="265">
        <f t="shared" si="10"/>
        <v>0</v>
      </c>
      <c r="AM25" s="266">
        <f t="shared" si="11"/>
        <v>0</v>
      </c>
      <c r="AN25" s="266"/>
      <c r="AO25" s="266">
        <f t="shared" si="12"/>
        <v>0</v>
      </c>
      <c r="AP25" s="266"/>
      <c r="AQ25" s="266">
        <f t="shared" si="13"/>
        <v>0</v>
      </c>
      <c r="AR25" s="266">
        <f t="shared" si="14"/>
        <v>1</v>
      </c>
      <c r="AS25" s="266"/>
      <c r="AT25" s="266">
        <f t="shared" si="15"/>
        <v>0</v>
      </c>
      <c r="AU25" s="266">
        <f t="shared" si="16"/>
        <v>2.5</v>
      </c>
      <c r="AV25" s="266">
        <f t="shared" si="17"/>
        <v>0</v>
      </c>
      <c r="AW25" s="280">
        <f t="shared" si="18"/>
        <v>3.5</v>
      </c>
      <c r="AX25" s="280">
        <f>COUNTIF(F25:AJ25,"3")+COUNTIF(F25:AJ25,"3, C2")</f>
        <v>3</v>
      </c>
      <c r="AY25" s="207"/>
      <c r="AZ25" s="208"/>
      <c r="BA25" s="268">
        <f t="shared" si="20"/>
        <v>6.5</v>
      </c>
      <c r="BB25" s="211">
        <f t="shared" si="0"/>
        <v>0</v>
      </c>
      <c r="BC25" s="212">
        <f t="shared" si="1"/>
        <v>0</v>
      </c>
      <c r="BD25" s="212">
        <f t="shared" si="2"/>
        <v>0</v>
      </c>
      <c r="BE25" s="212">
        <f t="shared" si="3"/>
        <v>0</v>
      </c>
      <c r="BF25" s="212">
        <f t="shared" si="4"/>
        <v>0</v>
      </c>
      <c r="BG25" s="212">
        <f t="shared" si="5"/>
        <v>0</v>
      </c>
      <c r="BH25" s="234">
        <f t="shared" si="6"/>
        <v>0</v>
      </c>
      <c r="BI25" s="209"/>
      <c r="BJ25" s="209">
        <f t="shared" si="7"/>
        <v>0</v>
      </c>
      <c r="BK25" s="235">
        <f t="shared" si="8"/>
        <v>0</v>
      </c>
      <c r="BL25" s="273">
        <f t="shared" si="21"/>
        <v>6.5</v>
      </c>
      <c r="BM25" s="201"/>
      <c r="BN25" s="201"/>
      <c r="BO25" s="201"/>
      <c r="BP25" s="201"/>
      <c r="BQ25" s="201"/>
      <c r="BR25" s="201"/>
      <c r="BS25" s="201"/>
      <c r="BT25" s="201"/>
      <c r="BU25" s="201"/>
      <c r="BV25" s="201"/>
      <c r="BW25" s="201"/>
      <c r="BX25" s="201"/>
      <c r="BY25" s="201"/>
      <c r="BZ25" s="201"/>
      <c r="CA25" s="201"/>
      <c r="CB25" s="201"/>
      <c r="CC25" s="201"/>
      <c r="CD25" s="201"/>
      <c r="CE25" s="201"/>
      <c r="CF25" s="201"/>
      <c r="CG25" s="201"/>
      <c r="CH25" s="201"/>
      <c r="CI25" s="201"/>
      <c r="CJ25" s="201"/>
      <c r="CK25" s="201"/>
      <c r="CL25" s="201"/>
      <c r="CM25" s="201"/>
      <c r="CN25" s="201"/>
      <c r="CO25" s="201"/>
      <c r="CP25" s="201"/>
      <c r="CQ25" s="201"/>
      <c r="CR25" s="201"/>
      <c r="CS25" s="201"/>
      <c r="CT25" s="201"/>
      <c r="CU25" s="201"/>
      <c r="CV25" s="201"/>
      <c r="CW25" s="201"/>
      <c r="CX25" s="201"/>
      <c r="CY25" s="201"/>
      <c r="CZ25" s="201"/>
      <c r="DA25" s="201"/>
      <c r="DB25" s="201"/>
      <c r="DC25" s="201"/>
      <c r="DD25" s="201"/>
      <c r="DE25" s="201"/>
      <c r="DF25" s="201"/>
      <c r="DG25" s="201"/>
      <c r="DH25" s="201"/>
      <c r="DI25" s="201"/>
      <c r="DJ25" s="201"/>
      <c r="DK25" s="201"/>
      <c r="DL25" s="201"/>
      <c r="DM25" s="201"/>
      <c r="DN25" s="201"/>
      <c r="DO25" s="201"/>
      <c r="DP25" s="201"/>
      <c r="DQ25" s="201"/>
      <c r="DR25" s="201"/>
      <c r="DS25" s="201"/>
      <c r="DT25" s="201"/>
      <c r="DU25" s="201"/>
      <c r="DV25" s="201"/>
      <c r="DW25" s="201"/>
      <c r="DX25" s="201"/>
      <c r="DY25" s="201"/>
      <c r="DZ25" s="201"/>
      <c r="EA25" s="201"/>
      <c r="EB25" s="201"/>
      <c r="EC25" s="201"/>
      <c r="ED25" s="201"/>
      <c r="EE25" s="201"/>
      <c r="EF25" s="201"/>
      <c r="EG25" s="201"/>
      <c r="EH25" s="201"/>
      <c r="EI25" s="201"/>
      <c r="EJ25" s="201"/>
      <c r="EK25" s="201"/>
      <c r="EL25" s="201"/>
      <c r="EM25" s="201"/>
      <c r="EN25" s="201"/>
      <c r="EO25" s="201"/>
      <c r="EP25" s="201"/>
      <c r="EQ25" s="201"/>
      <c r="ER25" s="201"/>
      <c r="ES25" s="201"/>
    </row>
    <row r="26" spans="1:149" s="63" customFormat="1" ht="36">
      <c r="A26" s="228"/>
      <c r="B26" s="190" t="s">
        <v>24</v>
      </c>
      <c r="C26" s="164">
        <v>8320</v>
      </c>
      <c r="D26" s="165" t="s">
        <v>37</v>
      </c>
      <c r="E26" s="170" t="s">
        <v>25</v>
      </c>
      <c r="F26" s="167" t="s">
        <v>30</v>
      </c>
      <c r="G26" s="168" t="s">
        <v>35</v>
      </c>
      <c r="H26" s="168" t="s">
        <v>30</v>
      </c>
      <c r="I26" s="168" t="s">
        <v>33</v>
      </c>
      <c r="J26" s="168" t="s">
        <v>35</v>
      </c>
      <c r="K26" s="168">
        <v>3</v>
      </c>
      <c r="L26" s="168"/>
      <c r="M26" s="168"/>
      <c r="N26" s="168"/>
      <c r="O26" s="168" t="s">
        <v>27</v>
      </c>
      <c r="P26" s="168">
        <v>2</v>
      </c>
      <c r="Q26" s="168">
        <v>2</v>
      </c>
      <c r="R26" s="168">
        <v>2</v>
      </c>
      <c r="S26" s="168">
        <v>2</v>
      </c>
      <c r="T26" s="168" t="s">
        <v>30</v>
      </c>
      <c r="U26" s="168"/>
      <c r="V26" s="168" t="s">
        <v>193</v>
      </c>
      <c r="W26" s="168">
        <v>2</v>
      </c>
      <c r="X26" s="168">
        <v>2</v>
      </c>
      <c r="Y26" s="168">
        <v>2</v>
      </c>
      <c r="Z26" s="168"/>
      <c r="AA26" s="168">
        <v>2</v>
      </c>
      <c r="AB26" s="168">
        <v>2</v>
      </c>
      <c r="AC26" s="168">
        <v>2</v>
      </c>
      <c r="AD26" s="168">
        <v>2</v>
      </c>
      <c r="AE26" s="168" t="s">
        <v>33</v>
      </c>
      <c r="AF26" s="168" t="s">
        <v>34</v>
      </c>
      <c r="AG26" s="168"/>
      <c r="AH26" s="168" t="s">
        <v>35</v>
      </c>
      <c r="AI26" s="168">
        <v>2</v>
      </c>
      <c r="AJ26" s="169"/>
      <c r="AK26" s="264">
        <f t="shared" si="9"/>
        <v>1</v>
      </c>
      <c r="AL26" s="265">
        <f t="shared" si="10"/>
        <v>0</v>
      </c>
      <c r="AM26" s="266">
        <f t="shared" si="11"/>
        <v>0.5</v>
      </c>
      <c r="AN26" s="266"/>
      <c r="AO26" s="266">
        <f t="shared" si="12"/>
        <v>0</v>
      </c>
      <c r="AP26" s="266"/>
      <c r="AQ26" s="266">
        <f t="shared" si="13"/>
        <v>12</v>
      </c>
      <c r="AR26" s="266">
        <f t="shared" si="14"/>
        <v>3.5</v>
      </c>
      <c r="AS26" s="266"/>
      <c r="AT26" s="266">
        <f t="shared" si="15"/>
        <v>0</v>
      </c>
      <c r="AU26" s="266">
        <f t="shared" si="16"/>
        <v>3.5</v>
      </c>
      <c r="AV26" s="266">
        <f t="shared" si="17"/>
        <v>0</v>
      </c>
      <c r="AW26" s="280">
        <f t="shared" si="18"/>
        <v>20.5</v>
      </c>
      <c r="AX26" s="280">
        <f t="shared" si="19"/>
        <v>2</v>
      </c>
      <c r="AY26" s="207"/>
      <c r="AZ26" s="208"/>
      <c r="BA26" s="268">
        <f t="shared" si="20"/>
        <v>22.5</v>
      </c>
      <c r="BB26" s="211"/>
      <c r="BC26" s="212"/>
      <c r="BD26" s="212"/>
      <c r="BE26" s="212"/>
      <c r="BF26" s="212"/>
      <c r="BG26" s="212"/>
      <c r="BH26" s="234"/>
      <c r="BI26" s="209"/>
      <c r="BJ26" s="209"/>
      <c r="BK26" s="235"/>
      <c r="BL26" s="273">
        <f t="shared" si="21"/>
        <v>22.5</v>
      </c>
      <c r="BM26" s="201"/>
      <c r="BN26" s="201"/>
      <c r="BO26" s="201"/>
      <c r="BP26" s="201"/>
      <c r="BQ26" s="201"/>
      <c r="BR26" s="201"/>
      <c r="BS26" s="201"/>
      <c r="BT26" s="201"/>
      <c r="BU26" s="201"/>
      <c r="BV26" s="201"/>
      <c r="BW26" s="201"/>
      <c r="BX26" s="201"/>
      <c r="BY26" s="201"/>
      <c r="BZ26" s="201"/>
      <c r="CA26" s="201"/>
      <c r="CB26" s="201"/>
      <c r="CC26" s="201"/>
      <c r="CD26" s="201"/>
      <c r="CE26" s="201"/>
      <c r="CF26" s="201"/>
      <c r="CG26" s="201"/>
      <c r="CH26" s="201"/>
      <c r="CI26" s="201"/>
      <c r="CJ26" s="201"/>
      <c r="CK26" s="201"/>
      <c r="CL26" s="201"/>
      <c r="CM26" s="201"/>
      <c r="CN26" s="201"/>
      <c r="CO26" s="201"/>
      <c r="CP26" s="201"/>
      <c r="CQ26" s="201"/>
      <c r="CR26" s="201"/>
      <c r="CS26" s="201"/>
      <c r="CT26" s="201"/>
      <c r="CU26" s="201"/>
      <c r="CV26" s="201"/>
      <c r="CW26" s="201"/>
      <c r="CX26" s="201"/>
      <c r="CY26" s="201"/>
      <c r="CZ26" s="201"/>
      <c r="DA26" s="201"/>
      <c r="DB26" s="201"/>
      <c r="DC26" s="201"/>
      <c r="DD26" s="201"/>
      <c r="DE26" s="201"/>
      <c r="DF26" s="201"/>
      <c r="DG26" s="201"/>
      <c r="DH26" s="201"/>
      <c r="DI26" s="201"/>
      <c r="DJ26" s="201"/>
      <c r="DK26" s="201"/>
      <c r="DL26" s="201"/>
      <c r="DM26" s="201"/>
      <c r="DN26" s="201"/>
      <c r="DO26" s="201"/>
      <c r="DP26" s="201"/>
      <c r="DQ26" s="201"/>
      <c r="DR26" s="201"/>
      <c r="DS26" s="201"/>
      <c r="DT26" s="201"/>
      <c r="DU26" s="201"/>
      <c r="DV26" s="201"/>
      <c r="DW26" s="201"/>
      <c r="DX26" s="201"/>
      <c r="DY26" s="201"/>
      <c r="DZ26" s="201"/>
      <c r="EA26" s="201"/>
      <c r="EB26" s="201"/>
      <c r="EC26" s="201"/>
      <c r="ED26" s="201"/>
      <c r="EE26" s="201"/>
      <c r="EF26" s="201"/>
      <c r="EG26" s="201"/>
      <c r="EH26" s="201"/>
      <c r="EI26" s="201"/>
      <c r="EJ26" s="201"/>
      <c r="EK26" s="201"/>
      <c r="EL26" s="201"/>
      <c r="EM26" s="201"/>
      <c r="EN26" s="201"/>
      <c r="EO26" s="201"/>
      <c r="EP26" s="201"/>
      <c r="EQ26" s="201"/>
      <c r="ER26" s="201"/>
      <c r="ES26" s="201"/>
    </row>
    <row r="27" spans="1:149" s="63" customFormat="1" ht="36">
      <c r="A27" s="228"/>
      <c r="B27" s="190" t="s">
        <v>24</v>
      </c>
      <c r="C27" s="164">
        <v>8321</v>
      </c>
      <c r="D27" s="165" t="s">
        <v>308</v>
      </c>
      <c r="E27" s="170" t="s">
        <v>25</v>
      </c>
      <c r="F27" s="167" t="s">
        <v>30</v>
      </c>
      <c r="G27" s="168" t="s">
        <v>33</v>
      </c>
      <c r="H27" s="168" t="s">
        <v>193</v>
      </c>
      <c r="I27" s="168" t="s">
        <v>30</v>
      </c>
      <c r="J27" s="168" t="s">
        <v>30</v>
      </c>
      <c r="K27" s="168" t="s">
        <v>35</v>
      </c>
      <c r="L27" s="168"/>
      <c r="M27" s="168"/>
      <c r="N27" s="168"/>
      <c r="O27" s="168"/>
      <c r="P27" s="168"/>
      <c r="Q27" s="168"/>
      <c r="R27" s="168">
        <v>3</v>
      </c>
      <c r="S27" s="168" t="s">
        <v>34</v>
      </c>
      <c r="T27" s="168" t="s">
        <v>34</v>
      </c>
      <c r="U27" s="168" t="s">
        <v>35</v>
      </c>
      <c r="V27" s="168"/>
      <c r="W27" s="168"/>
      <c r="X27" s="168" t="s">
        <v>29</v>
      </c>
      <c r="Y27" s="168" t="s">
        <v>34</v>
      </c>
      <c r="Z27" s="168" t="s">
        <v>34</v>
      </c>
      <c r="AA27" s="168" t="s">
        <v>34</v>
      </c>
      <c r="AB27" s="168"/>
      <c r="AC27" s="168"/>
      <c r="AD27" s="168">
        <v>3</v>
      </c>
      <c r="AE27" s="168" t="s">
        <v>34</v>
      </c>
      <c r="AF27" s="168" t="s">
        <v>34</v>
      </c>
      <c r="AG27" s="168">
        <v>3</v>
      </c>
      <c r="AH27" s="168">
        <v>3</v>
      </c>
      <c r="AI27" s="168"/>
      <c r="AJ27" s="169"/>
      <c r="AK27" s="264">
        <f t="shared" si="9"/>
        <v>0</v>
      </c>
      <c r="AL27" s="265">
        <f t="shared" si="10"/>
        <v>0</v>
      </c>
      <c r="AM27" s="266">
        <f t="shared" si="11"/>
        <v>0.5</v>
      </c>
      <c r="AN27" s="266"/>
      <c r="AO27" s="266">
        <f t="shared" si="12"/>
        <v>0</v>
      </c>
      <c r="AP27" s="266"/>
      <c r="AQ27" s="266">
        <f t="shared" si="13"/>
        <v>0</v>
      </c>
      <c r="AR27" s="266">
        <f t="shared" si="14"/>
        <v>2.5</v>
      </c>
      <c r="AS27" s="266"/>
      <c r="AT27" s="266">
        <f t="shared" si="15"/>
        <v>0</v>
      </c>
      <c r="AU27" s="266">
        <f t="shared" si="16"/>
        <v>6</v>
      </c>
      <c r="AV27" s="266">
        <f t="shared" si="17"/>
        <v>1</v>
      </c>
      <c r="AW27" s="280">
        <f t="shared" si="18"/>
        <v>10</v>
      </c>
      <c r="AX27" s="280">
        <f t="shared" si="19"/>
        <v>11</v>
      </c>
      <c r="AY27" s="207"/>
      <c r="AZ27" s="208"/>
      <c r="BA27" s="268">
        <f t="shared" si="20"/>
        <v>21</v>
      </c>
      <c r="BB27" s="211"/>
      <c r="BC27" s="212"/>
      <c r="BD27" s="212"/>
      <c r="BE27" s="212"/>
      <c r="BF27" s="212"/>
      <c r="BG27" s="212"/>
      <c r="BH27" s="234"/>
      <c r="BI27" s="209"/>
      <c r="BJ27" s="209"/>
      <c r="BK27" s="235"/>
      <c r="BL27" s="273">
        <f t="shared" si="21"/>
        <v>21</v>
      </c>
      <c r="BM27" s="201"/>
      <c r="BN27" s="201"/>
      <c r="BO27" s="201"/>
      <c r="BP27" s="201"/>
      <c r="BQ27" s="201"/>
      <c r="BR27" s="201"/>
      <c r="BS27" s="201"/>
      <c r="BT27" s="201"/>
      <c r="BU27" s="201"/>
      <c r="BV27" s="201"/>
      <c r="BW27" s="201"/>
      <c r="BX27" s="201"/>
      <c r="BY27" s="201"/>
      <c r="BZ27" s="201"/>
      <c r="CA27" s="201"/>
      <c r="CB27" s="201"/>
      <c r="CC27" s="201"/>
      <c r="CD27" s="201"/>
      <c r="CE27" s="201"/>
      <c r="CF27" s="201"/>
      <c r="CG27" s="201"/>
      <c r="CH27" s="201"/>
      <c r="CI27" s="201"/>
      <c r="CJ27" s="201"/>
      <c r="CK27" s="201"/>
      <c r="CL27" s="201"/>
      <c r="CM27" s="201"/>
      <c r="CN27" s="201"/>
      <c r="CO27" s="201"/>
      <c r="CP27" s="201"/>
      <c r="CQ27" s="201"/>
      <c r="CR27" s="201"/>
      <c r="CS27" s="201"/>
      <c r="CT27" s="201"/>
      <c r="CU27" s="201"/>
      <c r="CV27" s="201"/>
      <c r="CW27" s="201"/>
      <c r="CX27" s="201"/>
      <c r="CY27" s="201"/>
      <c r="CZ27" s="201"/>
      <c r="DA27" s="201"/>
      <c r="DB27" s="201"/>
      <c r="DC27" s="201"/>
      <c r="DD27" s="201"/>
      <c r="DE27" s="201"/>
      <c r="DF27" s="201"/>
      <c r="DG27" s="201"/>
      <c r="DH27" s="201"/>
      <c r="DI27" s="201"/>
      <c r="DJ27" s="201"/>
      <c r="DK27" s="201"/>
      <c r="DL27" s="201"/>
      <c r="DM27" s="201"/>
      <c r="DN27" s="201"/>
      <c r="DO27" s="201"/>
      <c r="DP27" s="201"/>
      <c r="DQ27" s="201"/>
      <c r="DR27" s="201"/>
      <c r="DS27" s="201"/>
      <c r="DT27" s="201"/>
      <c r="DU27" s="201"/>
      <c r="DV27" s="201"/>
      <c r="DW27" s="201"/>
      <c r="DX27" s="201"/>
      <c r="DY27" s="201"/>
      <c r="DZ27" s="201"/>
      <c r="EA27" s="201"/>
      <c r="EB27" s="201"/>
      <c r="EC27" s="201"/>
      <c r="ED27" s="201"/>
      <c r="EE27" s="201"/>
      <c r="EF27" s="201"/>
      <c r="EG27" s="201"/>
      <c r="EH27" s="201"/>
      <c r="EI27" s="201"/>
      <c r="EJ27" s="201"/>
      <c r="EK27" s="201"/>
      <c r="EL27" s="201"/>
      <c r="EM27" s="201"/>
      <c r="EN27" s="201"/>
      <c r="EO27" s="201"/>
      <c r="EP27" s="201"/>
      <c r="EQ27" s="201"/>
      <c r="ER27" s="201"/>
      <c r="ES27" s="201"/>
    </row>
    <row r="28" spans="1:149" s="63" customFormat="1" ht="36">
      <c r="A28" s="228"/>
      <c r="B28" s="190" t="s">
        <v>24</v>
      </c>
      <c r="C28" s="164">
        <v>8322</v>
      </c>
      <c r="D28" s="165" t="s">
        <v>39</v>
      </c>
      <c r="E28" s="170" t="s">
        <v>25</v>
      </c>
      <c r="F28" s="167" t="s">
        <v>35</v>
      </c>
      <c r="G28" s="168" t="s">
        <v>193</v>
      </c>
      <c r="H28" s="168" t="s">
        <v>27</v>
      </c>
      <c r="I28" s="168">
        <v>2</v>
      </c>
      <c r="J28" s="168">
        <v>2</v>
      </c>
      <c r="K28" s="168" t="s">
        <v>32</v>
      </c>
      <c r="L28" s="168">
        <v>2</v>
      </c>
      <c r="M28" s="168"/>
      <c r="N28" s="168">
        <v>2</v>
      </c>
      <c r="O28" s="168" t="s">
        <v>30</v>
      </c>
      <c r="P28" s="168" t="s">
        <v>30</v>
      </c>
      <c r="Q28" s="168">
        <v>2</v>
      </c>
      <c r="R28" s="168" t="s">
        <v>32</v>
      </c>
      <c r="S28" s="168"/>
      <c r="T28" s="168">
        <v>2</v>
      </c>
      <c r="U28" s="168" t="s">
        <v>30</v>
      </c>
      <c r="V28" s="168">
        <v>2</v>
      </c>
      <c r="W28" s="168">
        <v>2</v>
      </c>
      <c r="X28" s="168" t="s">
        <v>32</v>
      </c>
      <c r="Y28" s="168">
        <v>2</v>
      </c>
      <c r="Z28" s="168" t="s">
        <v>32</v>
      </c>
      <c r="AA28" s="168" t="s">
        <v>193</v>
      </c>
      <c r="AB28" s="168">
        <v>2</v>
      </c>
      <c r="AC28" s="168" t="s">
        <v>30</v>
      </c>
      <c r="AD28" s="168">
        <v>2</v>
      </c>
      <c r="AE28" s="168" t="s">
        <v>30</v>
      </c>
      <c r="AF28" s="168">
        <v>2</v>
      </c>
      <c r="AG28" s="168" t="s">
        <v>33</v>
      </c>
      <c r="AH28" s="168">
        <v>2</v>
      </c>
      <c r="AI28" s="168" t="s">
        <v>193</v>
      </c>
      <c r="AJ28" s="169"/>
      <c r="AK28" s="264">
        <f t="shared" si="9"/>
        <v>1</v>
      </c>
      <c r="AL28" s="265">
        <f t="shared" si="10"/>
        <v>0</v>
      </c>
      <c r="AM28" s="266">
        <f t="shared" si="11"/>
        <v>3.5</v>
      </c>
      <c r="AN28" s="266"/>
      <c r="AO28" s="266">
        <f t="shared" si="12"/>
        <v>0</v>
      </c>
      <c r="AP28" s="266"/>
      <c r="AQ28" s="266">
        <f t="shared" si="13"/>
        <v>17</v>
      </c>
      <c r="AR28" s="266">
        <f t="shared" si="14"/>
        <v>5</v>
      </c>
      <c r="AS28" s="266"/>
      <c r="AT28" s="266">
        <f t="shared" si="15"/>
        <v>0</v>
      </c>
      <c r="AU28" s="266">
        <f t="shared" si="16"/>
        <v>3</v>
      </c>
      <c r="AV28" s="266">
        <f t="shared" si="17"/>
        <v>0</v>
      </c>
      <c r="AW28" s="280">
        <f t="shared" si="18"/>
        <v>29.5</v>
      </c>
      <c r="AX28" s="280">
        <f t="shared" si="19"/>
        <v>0</v>
      </c>
      <c r="AY28" s="207"/>
      <c r="AZ28" s="208"/>
      <c r="BA28" s="268">
        <f t="shared" si="20"/>
        <v>29.5</v>
      </c>
      <c r="BB28" s="211"/>
      <c r="BC28" s="212"/>
      <c r="BD28" s="212"/>
      <c r="BE28" s="212"/>
      <c r="BF28" s="212"/>
      <c r="BG28" s="212"/>
      <c r="BH28" s="234"/>
      <c r="BI28" s="209"/>
      <c r="BJ28" s="209"/>
      <c r="BK28" s="235"/>
      <c r="BL28" s="273">
        <f t="shared" si="21"/>
        <v>29.5</v>
      </c>
      <c r="BM28" s="201"/>
      <c r="BN28" s="201"/>
      <c r="BO28" s="201"/>
      <c r="BP28" s="201"/>
      <c r="BQ28" s="201"/>
      <c r="BR28" s="201"/>
      <c r="BS28" s="201"/>
      <c r="BT28" s="201"/>
      <c r="BU28" s="201"/>
      <c r="BV28" s="201"/>
      <c r="BW28" s="201"/>
      <c r="BX28" s="201"/>
      <c r="BY28" s="201"/>
      <c r="BZ28" s="201"/>
      <c r="CA28" s="201"/>
      <c r="CB28" s="201"/>
      <c r="CC28" s="201"/>
      <c r="CD28" s="201"/>
      <c r="CE28" s="201"/>
      <c r="CF28" s="201"/>
      <c r="CG28" s="201"/>
      <c r="CH28" s="201"/>
      <c r="CI28" s="201"/>
      <c r="CJ28" s="201"/>
      <c r="CK28" s="201"/>
      <c r="CL28" s="201"/>
      <c r="CM28" s="201"/>
      <c r="CN28" s="201"/>
      <c r="CO28" s="201"/>
      <c r="CP28" s="201"/>
      <c r="CQ28" s="201"/>
      <c r="CR28" s="201"/>
      <c r="CS28" s="201"/>
      <c r="CT28" s="201"/>
      <c r="CU28" s="201"/>
      <c r="CV28" s="201"/>
      <c r="CW28" s="201"/>
      <c r="CX28" s="201"/>
      <c r="CY28" s="201"/>
      <c r="CZ28" s="201"/>
      <c r="DA28" s="201"/>
      <c r="DB28" s="201"/>
      <c r="DC28" s="201"/>
      <c r="DD28" s="201"/>
      <c r="DE28" s="201"/>
      <c r="DF28" s="201"/>
      <c r="DG28" s="201"/>
      <c r="DH28" s="201"/>
      <c r="DI28" s="201"/>
      <c r="DJ28" s="201"/>
      <c r="DK28" s="201"/>
      <c r="DL28" s="201"/>
      <c r="DM28" s="201"/>
      <c r="DN28" s="201"/>
      <c r="DO28" s="201"/>
      <c r="DP28" s="201"/>
      <c r="DQ28" s="201"/>
      <c r="DR28" s="201"/>
      <c r="DS28" s="201"/>
      <c r="DT28" s="201"/>
      <c r="DU28" s="201"/>
      <c r="DV28" s="201"/>
      <c r="DW28" s="201"/>
      <c r="DX28" s="201"/>
      <c r="DY28" s="201"/>
      <c r="DZ28" s="201"/>
      <c r="EA28" s="201"/>
      <c r="EB28" s="201"/>
      <c r="EC28" s="201"/>
      <c r="ED28" s="201"/>
      <c r="EE28" s="201"/>
      <c r="EF28" s="201"/>
      <c r="EG28" s="201"/>
      <c r="EH28" s="201"/>
      <c r="EI28" s="201"/>
      <c r="EJ28" s="201"/>
      <c r="EK28" s="201"/>
      <c r="EL28" s="201"/>
      <c r="EM28" s="201"/>
      <c r="EN28" s="201"/>
      <c r="EO28" s="201"/>
      <c r="EP28" s="201"/>
      <c r="EQ28" s="201"/>
      <c r="ER28" s="201"/>
      <c r="ES28" s="201"/>
    </row>
    <row r="29" spans="1:149" s="63" customFormat="1" ht="36">
      <c r="A29" s="228"/>
      <c r="B29" s="190" t="s">
        <v>24</v>
      </c>
      <c r="C29" s="164">
        <v>8323</v>
      </c>
      <c r="D29" s="165" t="s">
        <v>251</v>
      </c>
      <c r="E29" s="170" t="s">
        <v>25</v>
      </c>
      <c r="F29" s="167">
        <v>2</v>
      </c>
      <c r="G29" s="168">
        <v>2</v>
      </c>
      <c r="H29" s="168" t="s">
        <v>30</v>
      </c>
      <c r="I29" s="168"/>
      <c r="J29" s="168" t="s">
        <v>34</v>
      </c>
      <c r="K29" s="168"/>
      <c r="L29" s="168" t="s">
        <v>27</v>
      </c>
      <c r="M29" s="168">
        <v>2</v>
      </c>
      <c r="N29" s="168">
        <v>2</v>
      </c>
      <c r="O29" s="168" t="s">
        <v>30</v>
      </c>
      <c r="P29" s="168"/>
      <c r="Q29" s="168" t="s">
        <v>35</v>
      </c>
      <c r="R29" s="168"/>
      <c r="S29" s="168" t="s">
        <v>32</v>
      </c>
      <c r="T29" s="168" t="s">
        <v>193</v>
      </c>
      <c r="U29" s="168" t="s">
        <v>35</v>
      </c>
      <c r="V29" s="168" t="s">
        <v>30</v>
      </c>
      <c r="W29" s="168" t="s">
        <v>30</v>
      </c>
      <c r="X29" s="168">
        <v>2</v>
      </c>
      <c r="Y29" s="168"/>
      <c r="Z29" s="168" t="s">
        <v>29</v>
      </c>
      <c r="AA29" s="168">
        <v>2</v>
      </c>
      <c r="AB29" s="168">
        <v>2</v>
      </c>
      <c r="AC29" s="168">
        <v>2</v>
      </c>
      <c r="AD29" s="168"/>
      <c r="AE29" s="168"/>
      <c r="AF29" s="168"/>
      <c r="AG29" s="168"/>
      <c r="AH29" s="168"/>
      <c r="AI29" s="168"/>
      <c r="AJ29" s="169"/>
      <c r="AK29" s="264">
        <f t="shared" si="9"/>
        <v>1</v>
      </c>
      <c r="AL29" s="265">
        <f t="shared" si="10"/>
        <v>0</v>
      </c>
      <c r="AM29" s="266">
        <f t="shared" si="11"/>
        <v>1</v>
      </c>
      <c r="AN29" s="266"/>
      <c r="AO29" s="266">
        <f t="shared" si="12"/>
        <v>0</v>
      </c>
      <c r="AP29" s="266"/>
      <c r="AQ29" s="266">
        <f t="shared" si="13"/>
        <v>9</v>
      </c>
      <c r="AR29" s="266">
        <f t="shared" si="14"/>
        <v>3</v>
      </c>
      <c r="AS29" s="266"/>
      <c r="AT29" s="266">
        <f t="shared" si="15"/>
        <v>0</v>
      </c>
      <c r="AU29" s="266">
        <f t="shared" si="16"/>
        <v>3.5</v>
      </c>
      <c r="AV29" s="266">
        <f t="shared" si="17"/>
        <v>1</v>
      </c>
      <c r="AW29" s="280">
        <f t="shared" si="18"/>
        <v>18.5</v>
      </c>
      <c r="AX29" s="280">
        <f t="shared" si="19"/>
        <v>1</v>
      </c>
      <c r="AY29" s="207"/>
      <c r="AZ29" s="208"/>
      <c r="BA29" s="268">
        <f t="shared" si="20"/>
        <v>19.5</v>
      </c>
      <c r="BB29" s="211"/>
      <c r="BC29" s="212"/>
      <c r="BD29" s="212"/>
      <c r="BE29" s="212"/>
      <c r="BF29" s="212"/>
      <c r="BG29" s="212"/>
      <c r="BH29" s="234"/>
      <c r="BI29" s="209"/>
      <c r="BJ29" s="209"/>
      <c r="BK29" s="235"/>
      <c r="BL29" s="273">
        <f t="shared" si="21"/>
        <v>19.5</v>
      </c>
      <c r="BM29" s="201"/>
      <c r="BN29" s="201"/>
      <c r="BO29" s="201"/>
      <c r="BP29" s="201"/>
      <c r="BQ29" s="201"/>
      <c r="BR29" s="201"/>
      <c r="BS29" s="201"/>
      <c r="BT29" s="201"/>
      <c r="BU29" s="201"/>
      <c r="BV29" s="201"/>
      <c r="BW29" s="201"/>
      <c r="BX29" s="201"/>
      <c r="BY29" s="201"/>
      <c r="BZ29" s="201"/>
      <c r="CA29" s="201"/>
      <c r="CB29" s="201"/>
      <c r="CC29" s="201"/>
      <c r="CD29" s="201"/>
      <c r="CE29" s="201"/>
      <c r="CF29" s="201"/>
      <c r="CG29" s="201"/>
      <c r="CH29" s="201"/>
      <c r="CI29" s="201"/>
      <c r="CJ29" s="201"/>
      <c r="CK29" s="201"/>
      <c r="CL29" s="201"/>
      <c r="CM29" s="201"/>
      <c r="CN29" s="201"/>
      <c r="CO29" s="201"/>
      <c r="CP29" s="201"/>
      <c r="CQ29" s="201"/>
      <c r="CR29" s="201"/>
      <c r="CS29" s="201"/>
      <c r="CT29" s="201"/>
      <c r="CU29" s="201"/>
      <c r="CV29" s="201"/>
      <c r="CW29" s="201"/>
      <c r="CX29" s="201"/>
      <c r="CY29" s="201"/>
      <c r="CZ29" s="201"/>
      <c r="DA29" s="201"/>
      <c r="DB29" s="201"/>
      <c r="DC29" s="201"/>
      <c r="DD29" s="201"/>
      <c r="DE29" s="201"/>
      <c r="DF29" s="201"/>
      <c r="DG29" s="201"/>
      <c r="DH29" s="201"/>
      <c r="DI29" s="201"/>
      <c r="DJ29" s="201"/>
      <c r="DK29" s="201"/>
      <c r="DL29" s="201"/>
      <c r="DM29" s="201"/>
      <c r="DN29" s="201"/>
      <c r="DO29" s="201"/>
      <c r="DP29" s="201"/>
      <c r="DQ29" s="201"/>
      <c r="DR29" s="201"/>
      <c r="DS29" s="201"/>
      <c r="DT29" s="201"/>
      <c r="DU29" s="201"/>
      <c r="DV29" s="201"/>
      <c r="DW29" s="201"/>
      <c r="DX29" s="201"/>
      <c r="DY29" s="201"/>
      <c r="DZ29" s="201"/>
      <c r="EA29" s="201"/>
      <c r="EB29" s="201"/>
      <c r="EC29" s="201"/>
      <c r="ED29" s="201"/>
      <c r="EE29" s="201"/>
      <c r="EF29" s="201"/>
      <c r="EG29" s="201"/>
      <c r="EH29" s="201"/>
      <c r="EI29" s="201"/>
      <c r="EJ29" s="201"/>
      <c r="EK29" s="201"/>
      <c r="EL29" s="201"/>
      <c r="EM29" s="201"/>
      <c r="EN29" s="201"/>
      <c r="EO29" s="201"/>
      <c r="EP29" s="201"/>
      <c r="EQ29" s="201"/>
      <c r="ER29" s="201"/>
      <c r="ES29" s="201"/>
    </row>
    <row r="30" spans="1:149" s="63" customFormat="1" ht="22.8">
      <c r="A30" s="228">
        <v>13</v>
      </c>
      <c r="B30" s="190" t="s">
        <v>24</v>
      </c>
      <c r="C30" s="164">
        <v>8324</v>
      </c>
      <c r="D30" s="165" t="s">
        <v>256</v>
      </c>
      <c r="E30" s="170" t="s">
        <v>25</v>
      </c>
      <c r="F30" s="167">
        <v>2</v>
      </c>
      <c r="G30" s="168"/>
      <c r="H30" s="168">
        <v>1</v>
      </c>
      <c r="I30" s="168" t="s">
        <v>30</v>
      </c>
      <c r="J30" s="168">
        <v>2</v>
      </c>
      <c r="K30" s="168"/>
      <c r="L30" s="168" t="s">
        <v>29</v>
      </c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9"/>
      <c r="AK30" s="264">
        <f t="shared" si="9"/>
        <v>1</v>
      </c>
      <c r="AL30" s="265">
        <f t="shared" si="10"/>
        <v>0</v>
      </c>
      <c r="AM30" s="266">
        <f t="shared" si="11"/>
        <v>0</v>
      </c>
      <c r="AN30" s="266"/>
      <c r="AO30" s="266">
        <f t="shared" si="12"/>
        <v>0</v>
      </c>
      <c r="AP30" s="266"/>
      <c r="AQ30" s="266">
        <f t="shared" si="13"/>
        <v>2</v>
      </c>
      <c r="AR30" s="266">
        <f t="shared" si="14"/>
        <v>0.5</v>
      </c>
      <c r="AS30" s="266"/>
      <c r="AT30" s="266">
        <f t="shared" si="15"/>
        <v>0</v>
      </c>
      <c r="AU30" s="266">
        <f t="shared" si="16"/>
        <v>0.5</v>
      </c>
      <c r="AV30" s="266">
        <f t="shared" si="17"/>
        <v>1</v>
      </c>
      <c r="AW30" s="280">
        <f t="shared" si="18"/>
        <v>5</v>
      </c>
      <c r="AX30" s="280">
        <f t="shared" si="19"/>
        <v>0</v>
      </c>
      <c r="AY30" s="207"/>
      <c r="AZ30" s="208"/>
      <c r="BA30" s="268">
        <f t="shared" si="20"/>
        <v>5</v>
      </c>
      <c r="BB30" s="211">
        <f t="shared" ref="BB30:BB62" si="22">COUNTIF(F30:AJ30,"L1")+COUNTIF(F30:AJ30,"L1, LC1")</f>
        <v>0</v>
      </c>
      <c r="BC30" s="212">
        <f t="shared" ref="BC30:BC39" si="23">COUNTIF(F30:AJ30,"LS2")*0.5+COUNTIF(F30:AJ30,"L2, LS2")*0.5+COUNTIF(F30:AJ30,"LS2, LC1")*0.5+COUNTIF(F30:AJ30,"H2, S2")*0.5</f>
        <v>0</v>
      </c>
      <c r="BD30" s="212">
        <f t="shared" ref="BD30:BD62" si="24">COUNTIF(F30:AJ30,"L2")+COUNTIF(F30:AJ30,"L2, LS2")</f>
        <v>0</v>
      </c>
      <c r="BE30" s="212">
        <f t="shared" ref="BE30:BE62" si="25">COUNTIF(F30:AJ30,"LC1")*0.5+COUNTIF(F30:AJ30,"LS2, LC1")*0.5+COUNTIF(F30:AJ30,"L1, LC1")*0.5+COUNTIF(F30:AJ30,"LC1, LC2")*0.5</f>
        <v>0</v>
      </c>
      <c r="BF30" s="212">
        <f t="shared" ref="BF30:BF62" si="26">COUNTIF(F30:AJ30,"LC2")*0.5+COUNTIF(F30:AJ30,"L3, LC2")*0.5+COUNTIF(F30:AJ30,"LC1, LC2")*0.5</f>
        <v>0</v>
      </c>
      <c r="BG30" s="212">
        <f t="shared" ref="BG30:BG62" si="27">COUNTIF(F30:AJ30,"LHC")+COUNTIF(F30:AJ30,"LHC, H3")</f>
        <v>0</v>
      </c>
      <c r="BH30" s="234">
        <f t="shared" si="6"/>
        <v>0</v>
      </c>
      <c r="BI30" s="209"/>
      <c r="BJ30" s="209">
        <f t="shared" ref="BJ30:BJ62" si="28">COUNTIF(F30:AJ30,"L3")+COUNTIF(F30:AJ30,"L3, LC2")</f>
        <v>0</v>
      </c>
      <c r="BK30" s="235">
        <f t="shared" si="8"/>
        <v>0</v>
      </c>
      <c r="BL30" s="273">
        <f t="shared" si="21"/>
        <v>5</v>
      </c>
      <c r="BM30" s="201"/>
      <c r="BN30" s="201"/>
      <c r="BO30" s="201"/>
      <c r="BP30" s="201"/>
      <c r="BQ30" s="201"/>
      <c r="BR30" s="201"/>
      <c r="BS30" s="201"/>
      <c r="BT30" s="201"/>
      <c r="BU30" s="201"/>
      <c r="BV30" s="201"/>
      <c r="BW30" s="201"/>
      <c r="BX30" s="201"/>
      <c r="BY30" s="201"/>
      <c r="BZ30" s="201"/>
      <c r="CA30" s="201"/>
      <c r="CB30" s="201"/>
      <c r="CC30" s="201"/>
      <c r="CD30" s="201"/>
      <c r="CE30" s="201"/>
      <c r="CF30" s="201"/>
      <c r="CG30" s="201"/>
      <c r="CH30" s="201"/>
      <c r="CI30" s="201"/>
      <c r="CJ30" s="201"/>
      <c r="CK30" s="201"/>
      <c r="CL30" s="201"/>
      <c r="CM30" s="201"/>
      <c r="CN30" s="201"/>
      <c r="CO30" s="201"/>
      <c r="CP30" s="201"/>
      <c r="CQ30" s="201"/>
      <c r="CR30" s="201"/>
      <c r="CS30" s="201"/>
      <c r="CT30" s="201"/>
      <c r="CU30" s="201"/>
      <c r="CV30" s="201"/>
      <c r="CW30" s="201"/>
      <c r="CX30" s="201"/>
      <c r="CY30" s="201"/>
      <c r="CZ30" s="201"/>
      <c r="DA30" s="201"/>
      <c r="DB30" s="201"/>
      <c r="DC30" s="201"/>
      <c r="DD30" s="201"/>
      <c r="DE30" s="201"/>
      <c r="DF30" s="201"/>
      <c r="DG30" s="201"/>
      <c r="DH30" s="201"/>
      <c r="DI30" s="201"/>
      <c r="DJ30" s="201"/>
      <c r="DK30" s="201"/>
      <c r="DL30" s="201"/>
      <c r="DM30" s="201"/>
      <c r="DN30" s="201"/>
      <c r="DO30" s="201"/>
      <c r="DP30" s="201"/>
      <c r="DQ30" s="201"/>
      <c r="DR30" s="201"/>
      <c r="DS30" s="201"/>
      <c r="DT30" s="201"/>
      <c r="DU30" s="201"/>
      <c r="DV30" s="201"/>
      <c r="DW30" s="201"/>
      <c r="DX30" s="201"/>
      <c r="DY30" s="201"/>
      <c r="DZ30" s="201"/>
      <c r="EA30" s="201"/>
      <c r="EB30" s="201"/>
      <c r="EC30" s="201"/>
      <c r="ED30" s="201"/>
      <c r="EE30" s="201"/>
      <c r="EF30" s="201"/>
      <c r="EG30" s="201"/>
      <c r="EH30" s="201"/>
      <c r="EI30" s="201"/>
      <c r="EJ30" s="201"/>
      <c r="EK30" s="201"/>
      <c r="EL30" s="201"/>
      <c r="EM30" s="201"/>
      <c r="EN30" s="201"/>
      <c r="EO30" s="201"/>
      <c r="EP30" s="201"/>
      <c r="EQ30" s="201"/>
      <c r="ER30" s="201"/>
      <c r="ES30" s="201"/>
    </row>
    <row r="31" spans="1:149" s="63" customFormat="1" ht="36">
      <c r="A31" s="228">
        <v>14</v>
      </c>
      <c r="B31" s="190" t="s">
        <v>24</v>
      </c>
      <c r="C31" s="164">
        <v>8325</v>
      </c>
      <c r="D31" s="165" t="s">
        <v>252</v>
      </c>
      <c r="E31" s="170" t="s">
        <v>25</v>
      </c>
      <c r="F31" s="167">
        <v>2</v>
      </c>
      <c r="G31" s="168" t="s">
        <v>193</v>
      </c>
      <c r="H31" s="168">
        <v>1</v>
      </c>
      <c r="I31" s="168" t="s">
        <v>27</v>
      </c>
      <c r="J31" s="168">
        <v>2</v>
      </c>
      <c r="K31" s="168" t="s">
        <v>35</v>
      </c>
      <c r="L31" s="168"/>
      <c r="M31" s="168" t="s">
        <v>193</v>
      </c>
      <c r="N31" s="168">
        <v>2</v>
      </c>
      <c r="O31" s="168"/>
      <c r="P31" s="168">
        <v>2</v>
      </c>
      <c r="Q31" s="168" t="s">
        <v>30</v>
      </c>
      <c r="R31" s="168" t="s">
        <v>35</v>
      </c>
      <c r="S31" s="168" t="s">
        <v>32</v>
      </c>
      <c r="T31" s="168" t="s">
        <v>193</v>
      </c>
      <c r="U31" s="168">
        <v>2</v>
      </c>
      <c r="V31" s="168">
        <v>2</v>
      </c>
      <c r="W31" s="168"/>
      <c r="X31" s="168" t="s">
        <v>193</v>
      </c>
      <c r="Y31" s="168"/>
      <c r="Z31" s="168" t="s">
        <v>29</v>
      </c>
      <c r="AA31" s="168">
        <v>2</v>
      </c>
      <c r="AB31" s="168">
        <v>2</v>
      </c>
      <c r="AC31" s="168">
        <v>2</v>
      </c>
      <c r="AD31" s="168">
        <v>2</v>
      </c>
      <c r="AE31" s="168">
        <v>2</v>
      </c>
      <c r="AF31" s="168" t="s">
        <v>193</v>
      </c>
      <c r="AG31" s="168" t="s">
        <v>27</v>
      </c>
      <c r="AH31" s="168">
        <v>2</v>
      </c>
      <c r="AI31" s="168"/>
      <c r="AJ31" s="169"/>
      <c r="AK31" s="264">
        <f t="shared" si="9"/>
        <v>3</v>
      </c>
      <c r="AL31" s="265">
        <f t="shared" si="10"/>
        <v>0</v>
      </c>
      <c r="AM31" s="266">
        <f t="shared" si="11"/>
        <v>3</v>
      </c>
      <c r="AN31" s="266"/>
      <c r="AO31" s="266">
        <f t="shared" si="12"/>
        <v>0</v>
      </c>
      <c r="AP31" s="266"/>
      <c r="AQ31" s="266">
        <f t="shared" si="13"/>
        <v>13</v>
      </c>
      <c r="AR31" s="266">
        <f t="shared" si="14"/>
        <v>4</v>
      </c>
      <c r="AS31" s="266"/>
      <c r="AT31" s="266">
        <f t="shared" si="15"/>
        <v>0</v>
      </c>
      <c r="AU31" s="266">
        <f t="shared" si="16"/>
        <v>1.5</v>
      </c>
      <c r="AV31" s="266">
        <f t="shared" si="17"/>
        <v>1</v>
      </c>
      <c r="AW31" s="280">
        <f t="shared" si="18"/>
        <v>25.5</v>
      </c>
      <c r="AX31" s="280">
        <f t="shared" si="19"/>
        <v>0</v>
      </c>
      <c r="AY31" s="207"/>
      <c r="AZ31" s="208"/>
      <c r="BA31" s="268">
        <f t="shared" si="20"/>
        <v>25.5</v>
      </c>
      <c r="BB31" s="237">
        <f t="shared" si="22"/>
        <v>0</v>
      </c>
      <c r="BC31" s="212">
        <f t="shared" si="23"/>
        <v>0</v>
      </c>
      <c r="BD31" s="238">
        <f t="shared" si="24"/>
        <v>0</v>
      </c>
      <c r="BE31" s="238">
        <f t="shared" si="25"/>
        <v>0</v>
      </c>
      <c r="BF31" s="212">
        <f t="shared" si="26"/>
        <v>0</v>
      </c>
      <c r="BG31" s="238">
        <f t="shared" si="27"/>
        <v>0</v>
      </c>
      <c r="BH31" s="239">
        <f t="shared" si="6"/>
        <v>0</v>
      </c>
      <c r="BI31" s="236"/>
      <c r="BJ31" s="236">
        <f t="shared" si="28"/>
        <v>0</v>
      </c>
      <c r="BK31" s="240">
        <f t="shared" si="8"/>
        <v>0</v>
      </c>
      <c r="BL31" s="273">
        <f t="shared" si="21"/>
        <v>25.5</v>
      </c>
      <c r="BM31" s="201"/>
      <c r="BN31" s="201"/>
      <c r="BO31" s="201"/>
      <c r="BP31" s="201"/>
      <c r="BQ31" s="201"/>
      <c r="BR31" s="201"/>
      <c r="BS31" s="201"/>
      <c r="BT31" s="201"/>
      <c r="BU31" s="201"/>
      <c r="BV31" s="201"/>
      <c r="BW31" s="201"/>
      <c r="BX31" s="201"/>
      <c r="BY31" s="201"/>
      <c r="BZ31" s="201"/>
      <c r="CA31" s="201"/>
      <c r="CB31" s="201"/>
      <c r="CC31" s="201"/>
      <c r="CD31" s="201"/>
      <c r="CE31" s="201"/>
      <c r="CF31" s="201"/>
      <c r="CG31" s="201"/>
      <c r="CH31" s="201"/>
      <c r="CI31" s="201"/>
      <c r="CJ31" s="201"/>
      <c r="CK31" s="201"/>
      <c r="CL31" s="201"/>
      <c r="CM31" s="201"/>
      <c r="CN31" s="201"/>
      <c r="CO31" s="201"/>
      <c r="CP31" s="201"/>
      <c r="CQ31" s="201"/>
      <c r="CR31" s="201"/>
      <c r="CS31" s="201"/>
      <c r="CT31" s="201"/>
      <c r="CU31" s="201"/>
      <c r="CV31" s="201"/>
      <c r="CW31" s="201"/>
      <c r="CX31" s="201"/>
      <c r="CY31" s="201"/>
      <c r="CZ31" s="201"/>
      <c r="DA31" s="201"/>
      <c r="DB31" s="201"/>
      <c r="DC31" s="201"/>
      <c r="DD31" s="201"/>
      <c r="DE31" s="201"/>
      <c r="DF31" s="201"/>
      <c r="DG31" s="201"/>
      <c r="DH31" s="201"/>
      <c r="DI31" s="201"/>
      <c r="DJ31" s="201"/>
      <c r="DK31" s="201"/>
      <c r="DL31" s="201"/>
      <c r="DM31" s="201"/>
      <c r="DN31" s="201"/>
      <c r="DO31" s="201"/>
      <c r="DP31" s="201"/>
      <c r="DQ31" s="201"/>
      <c r="DR31" s="201"/>
      <c r="DS31" s="201"/>
      <c r="DT31" s="201"/>
      <c r="DU31" s="201"/>
      <c r="DV31" s="201"/>
      <c r="DW31" s="201"/>
      <c r="DX31" s="201"/>
      <c r="DY31" s="201"/>
      <c r="DZ31" s="201"/>
      <c r="EA31" s="201"/>
      <c r="EB31" s="201"/>
      <c r="EC31" s="201"/>
      <c r="ED31" s="201"/>
      <c r="EE31" s="201"/>
      <c r="EF31" s="201"/>
      <c r="EG31" s="201"/>
      <c r="EH31" s="201"/>
      <c r="EI31" s="201"/>
      <c r="EJ31" s="201"/>
      <c r="EK31" s="201"/>
      <c r="EL31" s="201"/>
      <c r="EM31" s="201"/>
      <c r="EN31" s="201"/>
      <c r="EO31" s="201"/>
      <c r="EP31" s="201"/>
      <c r="EQ31" s="201"/>
      <c r="ER31" s="201"/>
      <c r="ES31" s="201"/>
    </row>
    <row r="32" spans="1:149" s="245" customFormat="1" ht="36.6" thickBot="1">
      <c r="A32" s="228">
        <v>15</v>
      </c>
      <c r="B32" s="190" t="s">
        <v>24</v>
      </c>
      <c r="C32" s="164">
        <v>8326</v>
      </c>
      <c r="D32" s="165" t="s">
        <v>40</v>
      </c>
      <c r="E32" s="170" t="s">
        <v>25</v>
      </c>
      <c r="F32" s="167" t="s">
        <v>34</v>
      </c>
      <c r="G32" s="168" t="s">
        <v>34</v>
      </c>
      <c r="H32" s="168"/>
      <c r="I32" s="168">
        <v>2</v>
      </c>
      <c r="J32" s="168" t="s">
        <v>30</v>
      </c>
      <c r="K32" s="168">
        <v>2</v>
      </c>
      <c r="L32" s="168" t="s">
        <v>34</v>
      </c>
      <c r="M32" s="168"/>
      <c r="N32" s="168" t="s">
        <v>30</v>
      </c>
      <c r="O32" s="168">
        <v>3</v>
      </c>
      <c r="P32" s="168"/>
      <c r="Q32" s="168" t="s">
        <v>193</v>
      </c>
      <c r="R32" s="168"/>
      <c r="S32" s="168" t="s">
        <v>29</v>
      </c>
      <c r="T32" s="168" t="s">
        <v>193</v>
      </c>
      <c r="U32" s="168" t="s">
        <v>32</v>
      </c>
      <c r="V32" s="168"/>
      <c r="W32" s="168" t="s">
        <v>34</v>
      </c>
      <c r="X32" s="168" t="s">
        <v>35</v>
      </c>
      <c r="Y32" s="168" t="s">
        <v>33</v>
      </c>
      <c r="Z32" s="168" t="s">
        <v>30</v>
      </c>
      <c r="AA32" s="168"/>
      <c r="AB32" s="168" t="s">
        <v>193</v>
      </c>
      <c r="AC32" s="168" t="s">
        <v>29</v>
      </c>
      <c r="AD32" s="168"/>
      <c r="AE32" s="168"/>
      <c r="AF32" s="168"/>
      <c r="AG32" s="168"/>
      <c r="AH32" s="168"/>
      <c r="AI32" s="168"/>
      <c r="AJ32" s="169"/>
      <c r="AK32" s="264">
        <f t="shared" si="9"/>
        <v>0</v>
      </c>
      <c r="AL32" s="265">
        <f t="shared" si="10"/>
        <v>0</v>
      </c>
      <c r="AM32" s="266">
        <f t="shared" si="11"/>
        <v>2</v>
      </c>
      <c r="AN32" s="266"/>
      <c r="AO32" s="266">
        <f t="shared" si="12"/>
        <v>0</v>
      </c>
      <c r="AP32" s="266"/>
      <c r="AQ32" s="266">
        <f t="shared" si="13"/>
        <v>3</v>
      </c>
      <c r="AR32" s="266">
        <f t="shared" si="14"/>
        <v>3.5</v>
      </c>
      <c r="AS32" s="266"/>
      <c r="AT32" s="266">
        <f t="shared" si="15"/>
        <v>0</v>
      </c>
      <c r="AU32" s="266">
        <f t="shared" si="16"/>
        <v>4</v>
      </c>
      <c r="AV32" s="266">
        <f t="shared" si="17"/>
        <v>2</v>
      </c>
      <c r="AW32" s="280">
        <f t="shared" si="18"/>
        <v>14.5</v>
      </c>
      <c r="AX32" s="280">
        <f t="shared" si="19"/>
        <v>5</v>
      </c>
      <c r="AY32" s="207"/>
      <c r="AZ32" s="208"/>
      <c r="BA32" s="268">
        <f t="shared" si="20"/>
        <v>19.5</v>
      </c>
      <c r="BB32" s="241">
        <f t="shared" si="22"/>
        <v>0</v>
      </c>
      <c r="BC32" s="212">
        <f t="shared" si="23"/>
        <v>0</v>
      </c>
      <c r="BD32" s="243">
        <f t="shared" si="24"/>
        <v>0</v>
      </c>
      <c r="BE32" s="243">
        <f t="shared" si="25"/>
        <v>0</v>
      </c>
      <c r="BF32" s="212">
        <f t="shared" si="26"/>
        <v>0</v>
      </c>
      <c r="BG32" s="243">
        <f t="shared" si="27"/>
        <v>0</v>
      </c>
      <c r="BH32" s="244">
        <f t="shared" si="6"/>
        <v>0</v>
      </c>
      <c r="BI32" s="241"/>
      <c r="BJ32" s="241">
        <f t="shared" si="28"/>
        <v>0</v>
      </c>
      <c r="BK32" s="242">
        <f t="shared" si="8"/>
        <v>0</v>
      </c>
      <c r="BL32" s="273">
        <f t="shared" si="21"/>
        <v>19.5</v>
      </c>
      <c r="BM32" s="201"/>
      <c r="BN32" s="201"/>
      <c r="BO32" s="201"/>
      <c r="BP32" s="201"/>
      <c r="BQ32" s="201"/>
      <c r="BR32" s="201"/>
      <c r="BS32" s="201"/>
      <c r="BT32" s="201"/>
      <c r="BU32" s="201"/>
      <c r="BV32" s="201"/>
      <c r="BW32" s="201"/>
      <c r="BX32" s="201"/>
      <c r="BY32" s="201"/>
      <c r="BZ32" s="201"/>
      <c r="CA32" s="201"/>
      <c r="CB32" s="201"/>
      <c r="CC32" s="201"/>
      <c r="CD32" s="201"/>
      <c r="CE32" s="201"/>
      <c r="CF32" s="201"/>
      <c r="CG32" s="201"/>
      <c r="CH32" s="201"/>
      <c r="CI32" s="201"/>
      <c r="CJ32" s="201"/>
      <c r="CK32" s="201"/>
      <c r="CL32" s="201"/>
      <c r="CM32" s="201"/>
      <c r="CN32" s="201"/>
      <c r="CO32" s="201"/>
      <c r="CP32" s="201"/>
      <c r="CQ32" s="201"/>
      <c r="CR32" s="201"/>
      <c r="CS32" s="201"/>
      <c r="CT32" s="201"/>
      <c r="CU32" s="201"/>
      <c r="CV32" s="201"/>
      <c r="CW32" s="201"/>
      <c r="CX32" s="201"/>
      <c r="CY32" s="201"/>
      <c r="CZ32" s="201"/>
      <c r="DA32" s="201"/>
      <c r="DB32" s="201"/>
      <c r="DC32" s="201"/>
      <c r="DD32" s="201"/>
      <c r="DE32" s="201"/>
      <c r="DF32" s="201"/>
      <c r="DG32" s="201"/>
      <c r="DH32" s="201"/>
      <c r="DI32" s="201"/>
      <c r="DJ32" s="201"/>
      <c r="DK32" s="201"/>
      <c r="DL32" s="201"/>
      <c r="DM32" s="201"/>
      <c r="DN32" s="201"/>
      <c r="DO32" s="201"/>
      <c r="DP32" s="201"/>
      <c r="DQ32" s="201"/>
      <c r="DR32" s="201"/>
      <c r="DS32" s="201"/>
      <c r="DT32" s="201"/>
      <c r="DU32" s="201"/>
      <c r="DV32" s="201"/>
      <c r="DW32" s="201"/>
      <c r="DX32" s="201"/>
      <c r="DY32" s="201"/>
      <c r="DZ32" s="201"/>
      <c r="EA32" s="201"/>
      <c r="EB32" s="201"/>
      <c r="EC32" s="201"/>
      <c r="ED32" s="201"/>
      <c r="EE32" s="201"/>
      <c r="EF32" s="201"/>
      <c r="EG32" s="201"/>
      <c r="EH32" s="201"/>
      <c r="EI32" s="201"/>
      <c r="EJ32" s="201"/>
      <c r="EK32" s="201"/>
      <c r="EL32" s="201"/>
      <c r="EM32" s="201"/>
      <c r="EN32" s="201"/>
      <c r="EO32" s="201"/>
      <c r="EP32" s="201"/>
      <c r="EQ32" s="201"/>
      <c r="ER32" s="201"/>
      <c r="ES32" s="201"/>
    </row>
    <row r="33" spans="1:149" s="63" customFormat="1" ht="36.6" thickBot="1">
      <c r="A33" s="228">
        <v>16</v>
      </c>
      <c r="B33" s="190" t="s">
        <v>24</v>
      </c>
      <c r="C33" s="164">
        <v>8327</v>
      </c>
      <c r="D33" s="165" t="s">
        <v>41</v>
      </c>
      <c r="E33" s="170" t="s">
        <v>25</v>
      </c>
      <c r="F33" s="167" t="s">
        <v>32</v>
      </c>
      <c r="G33" s="168">
        <v>2</v>
      </c>
      <c r="H33" s="168">
        <v>2</v>
      </c>
      <c r="I33" s="168" t="s">
        <v>193</v>
      </c>
      <c r="J33" s="168"/>
      <c r="K33" s="168" t="s">
        <v>193</v>
      </c>
      <c r="L33" s="168"/>
      <c r="M33" s="168" t="s">
        <v>193</v>
      </c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9"/>
      <c r="AK33" s="264">
        <f t="shared" si="9"/>
        <v>0</v>
      </c>
      <c r="AL33" s="265">
        <f t="shared" si="10"/>
        <v>0</v>
      </c>
      <c r="AM33" s="266">
        <f t="shared" si="11"/>
        <v>2</v>
      </c>
      <c r="AN33" s="266"/>
      <c r="AO33" s="266">
        <f t="shared" si="12"/>
        <v>0</v>
      </c>
      <c r="AP33" s="266"/>
      <c r="AQ33" s="266">
        <f t="shared" si="13"/>
        <v>3</v>
      </c>
      <c r="AR33" s="266">
        <f t="shared" si="14"/>
        <v>1.5</v>
      </c>
      <c r="AS33" s="266"/>
      <c r="AT33" s="266">
        <f t="shared" si="15"/>
        <v>0</v>
      </c>
      <c r="AU33" s="266">
        <f t="shared" si="16"/>
        <v>0</v>
      </c>
      <c r="AV33" s="266">
        <f t="shared" si="17"/>
        <v>0</v>
      </c>
      <c r="AW33" s="280">
        <f t="shared" si="18"/>
        <v>6.5</v>
      </c>
      <c r="AX33" s="280">
        <f t="shared" si="19"/>
        <v>0</v>
      </c>
      <c r="AY33" s="207"/>
      <c r="AZ33" s="208"/>
      <c r="BA33" s="268">
        <f t="shared" si="20"/>
        <v>6.5</v>
      </c>
      <c r="BB33" s="214">
        <f t="shared" si="22"/>
        <v>0</v>
      </c>
      <c r="BC33" s="212">
        <f t="shared" si="23"/>
        <v>0</v>
      </c>
      <c r="BD33" s="246">
        <f t="shared" si="24"/>
        <v>0</v>
      </c>
      <c r="BE33" s="246">
        <f t="shared" si="25"/>
        <v>0</v>
      </c>
      <c r="BF33" s="212">
        <f t="shared" si="26"/>
        <v>0</v>
      </c>
      <c r="BG33" s="246">
        <f t="shared" si="27"/>
        <v>0</v>
      </c>
      <c r="BH33" s="247">
        <f t="shared" si="6"/>
        <v>0</v>
      </c>
      <c r="BI33" s="213"/>
      <c r="BJ33" s="213">
        <f t="shared" si="28"/>
        <v>0</v>
      </c>
      <c r="BK33" s="248">
        <f t="shared" si="8"/>
        <v>0</v>
      </c>
      <c r="BL33" s="273">
        <f t="shared" si="21"/>
        <v>6.5</v>
      </c>
      <c r="BM33" s="201"/>
      <c r="BN33" s="201"/>
      <c r="BO33" s="201"/>
      <c r="BP33" s="201"/>
      <c r="BQ33" s="201"/>
      <c r="BR33" s="201"/>
      <c r="BS33" s="201"/>
      <c r="BT33" s="201"/>
      <c r="BU33" s="201"/>
      <c r="BV33" s="201"/>
      <c r="BW33" s="201"/>
      <c r="BX33" s="201"/>
      <c r="BY33" s="201"/>
      <c r="BZ33" s="201"/>
      <c r="CA33" s="201"/>
      <c r="CB33" s="201"/>
      <c r="CC33" s="201"/>
      <c r="CD33" s="201"/>
      <c r="CE33" s="201"/>
      <c r="CF33" s="201"/>
      <c r="CG33" s="201"/>
      <c r="CH33" s="201"/>
      <c r="CI33" s="201"/>
      <c r="CJ33" s="201"/>
      <c r="CK33" s="201"/>
      <c r="CL33" s="201"/>
      <c r="CM33" s="201"/>
      <c r="CN33" s="201"/>
      <c r="CO33" s="201"/>
      <c r="CP33" s="201"/>
      <c r="CQ33" s="201"/>
      <c r="CR33" s="201"/>
      <c r="CS33" s="201"/>
      <c r="CT33" s="201"/>
      <c r="CU33" s="201"/>
      <c r="CV33" s="201"/>
      <c r="CW33" s="201"/>
      <c r="CX33" s="201"/>
      <c r="CY33" s="201"/>
      <c r="CZ33" s="201"/>
      <c r="DA33" s="201"/>
      <c r="DB33" s="201"/>
      <c r="DC33" s="201"/>
      <c r="DD33" s="201"/>
      <c r="DE33" s="201"/>
      <c r="DF33" s="201"/>
      <c r="DG33" s="201"/>
      <c r="DH33" s="201"/>
      <c r="DI33" s="201"/>
      <c r="DJ33" s="201"/>
      <c r="DK33" s="201"/>
      <c r="DL33" s="201"/>
      <c r="DM33" s="201"/>
      <c r="DN33" s="201"/>
      <c r="DO33" s="201"/>
      <c r="DP33" s="201"/>
      <c r="DQ33" s="201"/>
      <c r="DR33" s="201"/>
      <c r="DS33" s="201"/>
      <c r="DT33" s="201"/>
      <c r="DU33" s="201"/>
      <c r="DV33" s="201"/>
      <c r="DW33" s="201"/>
      <c r="DX33" s="201"/>
      <c r="DY33" s="201"/>
      <c r="DZ33" s="201"/>
      <c r="EA33" s="201"/>
      <c r="EB33" s="201"/>
      <c r="EC33" s="201"/>
      <c r="ED33" s="201"/>
      <c r="EE33" s="201"/>
      <c r="EF33" s="201"/>
      <c r="EG33" s="201"/>
      <c r="EH33" s="201"/>
      <c r="EI33" s="201"/>
      <c r="EJ33" s="201"/>
      <c r="EK33" s="201"/>
      <c r="EL33" s="201"/>
      <c r="EM33" s="201"/>
      <c r="EN33" s="201"/>
      <c r="EO33" s="201"/>
      <c r="EP33" s="201"/>
      <c r="EQ33" s="201"/>
      <c r="ER33" s="201"/>
      <c r="ES33" s="201"/>
    </row>
    <row r="34" spans="1:149" s="63" customFormat="1" ht="22.8">
      <c r="A34" s="249">
        <v>17</v>
      </c>
      <c r="B34" s="190" t="s">
        <v>24</v>
      </c>
      <c r="C34" s="164">
        <v>8330</v>
      </c>
      <c r="D34" s="165" t="s">
        <v>309</v>
      </c>
      <c r="E34" s="170" t="s">
        <v>25</v>
      </c>
      <c r="F34" s="167"/>
      <c r="G34" s="168"/>
      <c r="H34" s="168"/>
      <c r="I34" s="168"/>
      <c r="J34" s="168"/>
      <c r="K34" s="168" t="s">
        <v>29</v>
      </c>
      <c r="L34" s="168"/>
      <c r="M34" s="168">
        <v>1</v>
      </c>
      <c r="N34" s="168">
        <v>1</v>
      </c>
      <c r="O34" s="168" t="s">
        <v>27</v>
      </c>
      <c r="P34" s="168">
        <v>1</v>
      </c>
      <c r="Q34" s="168"/>
      <c r="R34" s="168" t="s">
        <v>27</v>
      </c>
      <c r="S34" s="168">
        <v>1</v>
      </c>
      <c r="T34" s="168">
        <v>2</v>
      </c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9"/>
      <c r="AK34" s="264">
        <f t="shared" si="9"/>
        <v>6</v>
      </c>
      <c r="AL34" s="265">
        <f t="shared" si="10"/>
        <v>0</v>
      </c>
      <c r="AM34" s="266">
        <f t="shared" si="11"/>
        <v>0</v>
      </c>
      <c r="AN34" s="266"/>
      <c r="AO34" s="266">
        <f t="shared" si="12"/>
        <v>0</v>
      </c>
      <c r="AP34" s="266"/>
      <c r="AQ34" s="266">
        <f t="shared" si="13"/>
        <v>1</v>
      </c>
      <c r="AR34" s="266">
        <f t="shared" si="14"/>
        <v>1</v>
      </c>
      <c r="AS34" s="266"/>
      <c r="AT34" s="266">
        <f t="shared" si="15"/>
        <v>0</v>
      </c>
      <c r="AU34" s="266">
        <f t="shared" si="16"/>
        <v>0</v>
      </c>
      <c r="AV34" s="266">
        <f t="shared" si="17"/>
        <v>1</v>
      </c>
      <c r="AW34" s="207"/>
      <c r="AX34" s="208"/>
      <c r="AY34" s="209">
        <f>SUM(AK34:AV34)</f>
        <v>9</v>
      </c>
      <c r="AZ34" s="210">
        <f>COUNTIF(F34:AJ34,"3")+COUNTIF(F34:AJ34,"3, C2")</f>
        <v>0</v>
      </c>
      <c r="BA34" s="268">
        <f t="shared" si="20"/>
        <v>9</v>
      </c>
      <c r="BB34" s="211">
        <f t="shared" si="22"/>
        <v>0</v>
      </c>
      <c r="BC34" s="212">
        <f t="shared" si="23"/>
        <v>0</v>
      </c>
      <c r="BD34" s="215">
        <f t="shared" si="24"/>
        <v>0</v>
      </c>
      <c r="BE34" s="215">
        <f t="shared" si="25"/>
        <v>0</v>
      </c>
      <c r="BF34" s="212">
        <f t="shared" si="26"/>
        <v>0</v>
      </c>
      <c r="BG34" s="215">
        <f t="shared" si="27"/>
        <v>0</v>
      </c>
      <c r="BH34" s="234">
        <f t="shared" si="6"/>
        <v>0</v>
      </c>
      <c r="BI34" s="209"/>
      <c r="BJ34" s="209">
        <f t="shared" si="28"/>
        <v>0</v>
      </c>
      <c r="BK34" s="235">
        <f t="shared" si="8"/>
        <v>0</v>
      </c>
      <c r="BL34" s="273">
        <f t="shared" si="21"/>
        <v>9</v>
      </c>
      <c r="BM34" s="201"/>
      <c r="BN34" s="201"/>
      <c r="BO34" s="201"/>
      <c r="BP34" s="201"/>
      <c r="BQ34" s="201"/>
      <c r="BR34" s="201"/>
      <c r="BS34" s="201"/>
      <c r="BT34" s="201"/>
      <c r="BU34" s="201"/>
      <c r="BV34" s="201"/>
      <c r="BW34" s="201"/>
      <c r="BX34" s="201"/>
      <c r="BY34" s="201"/>
      <c r="BZ34" s="201"/>
      <c r="CA34" s="201"/>
      <c r="CB34" s="201"/>
      <c r="CC34" s="201"/>
      <c r="CD34" s="201"/>
      <c r="CE34" s="201"/>
      <c r="CF34" s="201"/>
      <c r="CG34" s="201"/>
      <c r="CH34" s="201"/>
      <c r="CI34" s="201"/>
      <c r="CJ34" s="201"/>
      <c r="CK34" s="201"/>
      <c r="CL34" s="201"/>
      <c r="CM34" s="201"/>
      <c r="CN34" s="201"/>
      <c r="CO34" s="201"/>
      <c r="CP34" s="201"/>
      <c r="CQ34" s="201"/>
      <c r="CR34" s="201"/>
      <c r="CS34" s="201"/>
      <c r="CT34" s="201"/>
      <c r="CU34" s="201"/>
      <c r="CV34" s="201"/>
      <c r="CW34" s="201"/>
      <c r="CX34" s="201"/>
      <c r="CY34" s="201"/>
      <c r="CZ34" s="201"/>
      <c r="DA34" s="201"/>
      <c r="DB34" s="201"/>
      <c r="DC34" s="201"/>
      <c r="DD34" s="201"/>
      <c r="DE34" s="201"/>
      <c r="DF34" s="201"/>
      <c r="DG34" s="201"/>
      <c r="DH34" s="201"/>
      <c r="DI34" s="201"/>
      <c r="DJ34" s="201"/>
      <c r="DK34" s="201"/>
      <c r="DL34" s="201"/>
      <c r="DM34" s="201"/>
      <c r="DN34" s="201"/>
      <c r="DO34" s="201"/>
      <c r="DP34" s="201"/>
      <c r="DQ34" s="201"/>
      <c r="DR34" s="201"/>
      <c r="DS34" s="201"/>
      <c r="DT34" s="201"/>
      <c r="DU34" s="201"/>
      <c r="DV34" s="201"/>
      <c r="DW34" s="201"/>
      <c r="DX34" s="201"/>
      <c r="DY34" s="201"/>
      <c r="DZ34" s="201"/>
      <c r="EA34" s="201"/>
      <c r="EB34" s="201"/>
      <c r="EC34" s="201"/>
      <c r="ED34" s="201"/>
      <c r="EE34" s="201"/>
      <c r="EF34" s="201"/>
      <c r="EG34" s="201"/>
      <c r="EH34" s="201"/>
      <c r="EI34" s="201"/>
      <c r="EJ34" s="201"/>
      <c r="EK34" s="201"/>
      <c r="EL34" s="201"/>
      <c r="EM34" s="201"/>
      <c r="EN34" s="201"/>
      <c r="EO34" s="201"/>
      <c r="EP34" s="201"/>
      <c r="EQ34" s="201"/>
      <c r="ER34" s="201"/>
      <c r="ES34" s="201"/>
    </row>
    <row r="35" spans="1:149" s="63" customFormat="1" ht="22.8">
      <c r="A35" s="228">
        <v>18</v>
      </c>
      <c r="B35" s="190" t="s">
        <v>24</v>
      </c>
      <c r="C35" s="164">
        <v>8331</v>
      </c>
      <c r="D35" s="165" t="s">
        <v>310</v>
      </c>
      <c r="E35" s="170" t="s">
        <v>25</v>
      </c>
      <c r="F35" s="167"/>
      <c r="G35" s="168"/>
      <c r="H35" s="168"/>
      <c r="I35" s="168"/>
      <c r="J35" s="168"/>
      <c r="K35" s="168"/>
      <c r="L35" s="168"/>
      <c r="M35" s="168"/>
      <c r="N35" s="168"/>
      <c r="O35" s="168"/>
      <c r="P35" s="168" t="s">
        <v>27</v>
      </c>
      <c r="Q35" s="168" t="s">
        <v>27</v>
      </c>
      <c r="R35" s="168" t="s">
        <v>27</v>
      </c>
      <c r="S35" s="168"/>
      <c r="T35" s="168" t="s">
        <v>27</v>
      </c>
      <c r="U35" s="168" t="s">
        <v>27</v>
      </c>
      <c r="V35" s="168" t="s">
        <v>27</v>
      </c>
      <c r="W35" s="168">
        <v>1</v>
      </c>
      <c r="X35" s="168" t="s">
        <v>27</v>
      </c>
      <c r="Y35" s="168" t="s">
        <v>27</v>
      </c>
      <c r="Z35" s="168"/>
      <c r="AA35" s="168" t="s">
        <v>27</v>
      </c>
      <c r="AB35" s="168" t="s">
        <v>27</v>
      </c>
      <c r="AC35" s="168" t="s">
        <v>27</v>
      </c>
      <c r="AD35" s="168" t="s">
        <v>27</v>
      </c>
      <c r="AE35" s="168">
        <v>1</v>
      </c>
      <c r="AF35" s="168" t="s">
        <v>27</v>
      </c>
      <c r="AG35" s="168"/>
      <c r="AH35" s="168"/>
      <c r="AI35" s="168"/>
      <c r="AJ35" s="169"/>
      <c r="AK35" s="264">
        <f t="shared" si="9"/>
        <v>15</v>
      </c>
      <c r="AL35" s="265">
        <f t="shared" si="10"/>
        <v>0</v>
      </c>
      <c r="AM35" s="266">
        <f t="shared" si="11"/>
        <v>0</v>
      </c>
      <c r="AN35" s="266"/>
      <c r="AO35" s="266">
        <f t="shared" si="12"/>
        <v>0</v>
      </c>
      <c r="AP35" s="266"/>
      <c r="AQ35" s="266">
        <f t="shared" si="13"/>
        <v>0</v>
      </c>
      <c r="AR35" s="266">
        <f t="shared" si="14"/>
        <v>6.5</v>
      </c>
      <c r="AS35" s="266"/>
      <c r="AT35" s="266">
        <f t="shared" si="15"/>
        <v>0</v>
      </c>
      <c r="AU35" s="266">
        <f t="shared" si="16"/>
        <v>0</v>
      </c>
      <c r="AV35" s="266">
        <f t="shared" si="17"/>
        <v>0</v>
      </c>
      <c r="AW35" s="207"/>
      <c r="AX35" s="208"/>
      <c r="AY35" s="209">
        <f t="shared" ref="AY35:AY75" si="29">SUM(AK35:AV35)</f>
        <v>21.5</v>
      </c>
      <c r="AZ35" s="210">
        <f t="shared" ref="AZ35:AZ75" si="30">COUNTIF(F35:AJ35,"3")+COUNTIF(F35:AJ35,"3, C2")</f>
        <v>0</v>
      </c>
      <c r="BA35" s="268">
        <f t="shared" si="20"/>
        <v>21.5</v>
      </c>
      <c r="BB35" s="211">
        <f t="shared" si="22"/>
        <v>0</v>
      </c>
      <c r="BC35" s="212">
        <f t="shared" si="23"/>
        <v>0</v>
      </c>
      <c r="BD35" s="212">
        <f t="shared" si="24"/>
        <v>0</v>
      </c>
      <c r="BE35" s="212">
        <f t="shared" si="25"/>
        <v>0</v>
      </c>
      <c r="BF35" s="212">
        <f t="shared" si="26"/>
        <v>0</v>
      </c>
      <c r="BG35" s="212">
        <f t="shared" si="27"/>
        <v>0</v>
      </c>
      <c r="BH35" s="234">
        <f t="shared" si="6"/>
        <v>0</v>
      </c>
      <c r="BI35" s="209"/>
      <c r="BJ35" s="209">
        <f t="shared" si="28"/>
        <v>0</v>
      </c>
      <c r="BK35" s="235">
        <f t="shared" si="8"/>
        <v>0</v>
      </c>
      <c r="BL35" s="273">
        <f t="shared" si="21"/>
        <v>21.5</v>
      </c>
      <c r="BM35" s="201"/>
      <c r="BN35" s="201"/>
      <c r="BO35" s="201"/>
      <c r="BP35" s="201"/>
      <c r="BQ35" s="201"/>
      <c r="BR35" s="201"/>
      <c r="BS35" s="201"/>
      <c r="BT35" s="201"/>
      <c r="BU35" s="201"/>
      <c r="BV35" s="201"/>
      <c r="BW35" s="201"/>
      <c r="BX35" s="201"/>
      <c r="BY35" s="201"/>
      <c r="BZ35" s="201"/>
      <c r="CA35" s="201"/>
      <c r="CB35" s="201"/>
      <c r="CC35" s="201"/>
      <c r="CD35" s="201"/>
      <c r="CE35" s="201"/>
      <c r="CF35" s="201"/>
      <c r="CG35" s="201"/>
      <c r="CH35" s="201"/>
      <c r="CI35" s="201"/>
      <c r="CJ35" s="201"/>
      <c r="CK35" s="201"/>
      <c r="CL35" s="201"/>
      <c r="CM35" s="201"/>
      <c r="CN35" s="201"/>
      <c r="CO35" s="201"/>
      <c r="CP35" s="201"/>
      <c r="CQ35" s="201"/>
      <c r="CR35" s="201"/>
      <c r="CS35" s="201"/>
      <c r="CT35" s="201"/>
      <c r="CU35" s="201"/>
      <c r="CV35" s="201"/>
      <c r="CW35" s="201"/>
      <c r="CX35" s="201"/>
      <c r="CY35" s="201"/>
      <c r="CZ35" s="201"/>
      <c r="DA35" s="201"/>
      <c r="DB35" s="201"/>
      <c r="DC35" s="201"/>
      <c r="DD35" s="201"/>
      <c r="DE35" s="201"/>
      <c r="DF35" s="201"/>
      <c r="DG35" s="201"/>
      <c r="DH35" s="201"/>
      <c r="DI35" s="201"/>
      <c r="DJ35" s="201"/>
      <c r="DK35" s="201"/>
      <c r="DL35" s="201"/>
      <c r="DM35" s="201"/>
      <c r="DN35" s="201"/>
      <c r="DO35" s="201"/>
      <c r="DP35" s="201"/>
      <c r="DQ35" s="201"/>
      <c r="DR35" s="201"/>
      <c r="DS35" s="201"/>
      <c r="DT35" s="201"/>
      <c r="DU35" s="201"/>
      <c r="DV35" s="201"/>
      <c r="DW35" s="201"/>
      <c r="DX35" s="201"/>
      <c r="DY35" s="201"/>
      <c r="DZ35" s="201"/>
      <c r="EA35" s="201"/>
      <c r="EB35" s="201"/>
      <c r="EC35" s="201"/>
      <c r="ED35" s="201"/>
      <c r="EE35" s="201"/>
      <c r="EF35" s="201"/>
      <c r="EG35" s="201"/>
      <c r="EH35" s="201"/>
      <c r="EI35" s="201"/>
      <c r="EJ35" s="201"/>
      <c r="EK35" s="201"/>
      <c r="EL35" s="201"/>
      <c r="EM35" s="201"/>
      <c r="EN35" s="201"/>
      <c r="EO35" s="201"/>
      <c r="EP35" s="201"/>
      <c r="EQ35" s="201"/>
      <c r="ER35" s="201"/>
      <c r="ES35" s="201"/>
    </row>
    <row r="36" spans="1:149" s="63" customFormat="1" ht="22.8">
      <c r="A36" s="228">
        <v>19</v>
      </c>
      <c r="B36" s="190" t="s">
        <v>24</v>
      </c>
      <c r="C36" s="164">
        <v>8332</v>
      </c>
      <c r="D36" s="165" t="s">
        <v>248</v>
      </c>
      <c r="E36" s="170" t="s">
        <v>25</v>
      </c>
      <c r="F36" s="167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>
        <v>1</v>
      </c>
      <c r="AC36" s="168" t="s">
        <v>27</v>
      </c>
      <c r="AD36" s="168" t="s">
        <v>27</v>
      </c>
      <c r="AE36" s="168" t="s">
        <v>27</v>
      </c>
      <c r="AF36" s="168" t="s">
        <v>29</v>
      </c>
      <c r="AG36" s="168" t="s">
        <v>29</v>
      </c>
      <c r="AH36" s="168" t="s">
        <v>27</v>
      </c>
      <c r="AI36" s="168" t="s">
        <v>27</v>
      </c>
      <c r="AJ36" s="169"/>
      <c r="AK36" s="264">
        <f t="shared" si="9"/>
        <v>6</v>
      </c>
      <c r="AL36" s="265">
        <f t="shared" si="10"/>
        <v>0</v>
      </c>
      <c r="AM36" s="266">
        <f t="shared" si="11"/>
        <v>0</v>
      </c>
      <c r="AN36" s="266"/>
      <c r="AO36" s="266">
        <f t="shared" si="12"/>
        <v>0</v>
      </c>
      <c r="AP36" s="266"/>
      <c r="AQ36" s="266">
        <f t="shared" si="13"/>
        <v>0</v>
      </c>
      <c r="AR36" s="266">
        <f t="shared" si="14"/>
        <v>2.5</v>
      </c>
      <c r="AS36" s="266"/>
      <c r="AT36" s="266">
        <f t="shared" si="15"/>
        <v>0</v>
      </c>
      <c r="AU36" s="266">
        <f t="shared" si="16"/>
        <v>0</v>
      </c>
      <c r="AV36" s="266">
        <f t="shared" si="17"/>
        <v>2</v>
      </c>
      <c r="AW36" s="207"/>
      <c r="AX36" s="208"/>
      <c r="AY36" s="209">
        <f t="shared" si="29"/>
        <v>10.5</v>
      </c>
      <c r="AZ36" s="210">
        <f t="shared" si="30"/>
        <v>0</v>
      </c>
      <c r="BA36" s="268">
        <f t="shared" si="20"/>
        <v>10.5</v>
      </c>
      <c r="BB36" s="211">
        <f t="shared" si="22"/>
        <v>0</v>
      </c>
      <c r="BC36" s="212">
        <f t="shared" si="23"/>
        <v>0</v>
      </c>
      <c r="BD36" s="212">
        <f t="shared" si="24"/>
        <v>0</v>
      </c>
      <c r="BE36" s="212">
        <f t="shared" si="25"/>
        <v>0</v>
      </c>
      <c r="BF36" s="212">
        <f t="shared" si="26"/>
        <v>0</v>
      </c>
      <c r="BG36" s="212">
        <f t="shared" si="27"/>
        <v>0</v>
      </c>
      <c r="BH36" s="234">
        <f t="shared" si="6"/>
        <v>0</v>
      </c>
      <c r="BI36" s="209"/>
      <c r="BJ36" s="209">
        <f t="shared" si="28"/>
        <v>0</v>
      </c>
      <c r="BK36" s="235">
        <f t="shared" si="8"/>
        <v>0</v>
      </c>
      <c r="BL36" s="273">
        <f t="shared" si="21"/>
        <v>10.5</v>
      </c>
      <c r="BM36" s="201"/>
      <c r="BN36" s="201"/>
      <c r="BO36" s="201"/>
      <c r="BP36" s="201"/>
      <c r="BQ36" s="201"/>
      <c r="BR36" s="201"/>
      <c r="BS36" s="201"/>
      <c r="BT36" s="201"/>
      <c r="BU36" s="201"/>
      <c r="BV36" s="201"/>
      <c r="BW36" s="201"/>
      <c r="BX36" s="201"/>
      <c r="BY36" s="201"/>
      <c r="BZ36" s="201"/>
      <c r="CA36" s="201"/>
      <c r="CB36" s="201"/>
      <c r="CC36" s="201"/>
      <c r="CD36" s="201"/>
      <c r="CE36" s="201"/>
      <c r="CF36" s="201"/>
      <c r="CG36" s="201"/>
      <c r="CH36" s="201"/>
      <c r="CI36" s="201"/>
      <c r="CJ36" s="201"/>
      <c r="CK36" s="201"/>
      <c r="CL36" s="201"/>
      <c r="CM36" s="201"/>
      <c r="CN36" s="201"/>
      <c r="CO36" s="201"/>
      <c r="CP36" s="201"/>
      <c r="CQ36" s="201"/>
      <c r="CR36" s="201"/>
      <c r="CS36" s="201"/>
      <c r="CT36" s="201"/>
      <c r="CU36" s="201"/>
      <c r="CV36" s="201"/>
      <c r="CW36" s="201"/>
      <c r="CX36" s="201"/>
      <c r="CY36" s="201"/>
      <c r="CZ36" s="201"/>
      <c r="DA36" s="201"/>
      <c r="DB36" s="201"/>
      <c r="DC36" s="201"/>
      <c r="DD36" s="201"/>
      <c r="DE36" s="201"/>
      <c r="DF36" s="201"/>
      <c r="DG36" s="201"/>
      <c r="DH36" s="201"/>
      <c r="DI36" s="201"/>
      <c r="DJ36" s="201"/>
      <c r="DK36" s="201"/>
      <c r="DL36" s="201"/>
      <c r="DM36" s="201"/>
      <c r="DN36" s="201"/>
      <c r="DO36" s="201"/>
      <c r="DP36" s="201"/>
      <c r="DQ36" s="201"/>
      <c r="DR36" s="201"/>
      <c r="DS36" s="201"/>
      <c r="DT36" s="201"/>
      <c r="DU36" s="201"/>
      <c r="DV36" s="201"/>
      <c r="DW36" s="201"/>
      <c r="DX36" s="201"/>
      <c r="DY36" s="201"/>
      <c r="DZ36" s="201"/>
      <c r="EA36" s="201"/>
      <c r="EB36" s="201"/>
      <c r="EC36" s="201"/>
      <c r="ED36" s="201"/>
      <c r="EE36" s="201"/>
      <c r="EF36" s="201"/>
      <c r="EG36" s="201"/>
      <c r="EH36" s="201"/>
      <c r="EI36" s="201"/>
      <c r="EJ36" s="201"/>
      <c r="EK36" s="201"/>
      <c r="EL36" s="201"/>
      <c r="EM36" s="201"/>
      <c r="EN36" s="201"/>
      <c r="EO36" s="201"/>
      <c r="EP36" s="201"/>
      <c r="EQ36" s="201"/>
      <c r="ER36" s="201"/>
      <c r="ES36" s="201"/>
    </row>
    <row r="37" spans="1:149" s="63" customFormat="1" ht="23.4" thickBot="1">
      <c r="A37" s="249">
        <v>20</v>
      </c>
      <c r="B37" s="171" t="s">
        <v>24</v>
      </c>
      <c r="C37" s="172">
        <v>8333</v>
      </c>
      <c r="D37" s="173" t="s">
        <v>249</v>
      </c>
      <c r="E37" s="174" t="s">
        <v>25</v>
      </c>
      <c r="F37" s="175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 t="s">
        <v>27</v>
      </c>
      <c r="AE37" s="176"/>
      <c r="AF37" s="176"/>
      <c r="AG37" s="176"/>
      <c r="AH37" s="176"/>
      <c r="AI37" s="176"/>
      <c r="AJ37" s="177"/>
      <c r="AK37" s="264">
        <f t="shared" si="9"/>
        <v>1</v>
      </c>
      <c r="AL37" s="265">
        <f t="shared" si="10"/>
        <v>0</v>
      </c>
      <c r="AM37" s="266">
        <f t="shared" si="11"/>
        <v>0</v>
      </c>
      <c r="AN37" s="266"/>
      <c r="AO37" s="266">
        <f t="shared" si="12"/>
        <v>0</v>
      </c>
      <c r="AP37" s="266"/>
      <c r="AQ37" s="266">
        <f t="shared" si="13"/>
        <v>0</v>
      </c>
      <c r="AR37" s="266">
        <f t="shared" si="14"/>
        <v>0.5</v>
      </c>
      <c r="AS37" s="266"/>
      <c r="AT37" s="266">
        <f t="shared" si="15"/>
        <v>0</v>
      </c>
      <c r="AU37" s="266">
        <f t="shared" si="16"/>
        <v>0</v>
      </c>
      <c r="AV37" s="266">
        <f t="shared" si="17"/>
        <v>0</v>
      </c>
      <c r="AW37" s="207"/>
      <c r="AX37" s="208"/>
      <c r="AY37" s="209">
        <f t="shared" si="29"/>
        <v>1.5</v>
      </c>
      <c r="AZ37" s="210">
        <f t="shared" si="30"/>
        <v>0</v>
      </c>
      <c r="BA37" s="268">
        <f t="shared" si="20"/>
        <v>1.5</v>
      </c>
      <c r="BB37" s="211">
        <f t="shared" si="22"/>
        <v>0</v>
      </c>
      <c r="BC37" s="212">
        <f t="shared" si="23"/>
        <v>0</v>
      </c>
      <c r="BD37" s="212">
        <f t="shared" si="24"/>
        <v>0</v>
      </c>
      <c r="BE37" s="212">
        <f t="shared" si="25"/>
        <v>0</v>
      </c>
      <c r="BF37" s="212">
        <f t="shared" si="26"/>
        <v>0</v>
      </c>
      <c r="BG37" s="212">
        <f t="shared" si="27"/>
        <v>0</v>
      </c>
      <c r="BH37" s="234">
        <f t="shared" si="6"/>
        <v>0</v>
      </c>
      <c r="BI37" s="209"/>
      <c r="BJ37" s="209">
        <f t="shared" si="28"/>
        <v>0</v>
      </c>
      <c r="BK37" s="235">
        <f t="shared" si="8"/>
        <v>0</v>
      </c>
      <c r="BL37" s="273">
        <f t="shared" si="21"/>
        <v>1.5</v>
      </c>
      <c r="BM37" s="201"/>
      <c r="BN37" s="201"/>
      <c r="BO37" s="201"/>
      <c r="BP37" s="201"/>
      <c r="BQ37" s="201"/>
      <c r="BR37" s="201"/>
      <c r="BS37" s="201"/>
      <c r="BT37" s="201"/>
      <c r="BU37" s="201"/>
      <c r="BV37" s="201"/>
      <c r="BW37" s="201"/>
      <c r="BX37" s="201"/>
      <c r="BY37" s="201"/>
      <c r="BZ37" s="201"/>
      <c r="CA37" s="201"/>
      <c r="CB37" s="201"/>
      <c r="CC37" s="201"/>
      <c r="CD37" s="201"/>
      <c r="CE37" s="201"/>
      <c r="CF37" s="201"/>
      <c r="CG37" s="201"/>
      <c r="CH37" s="201"/>
      <c r="CI37" s="201"/>
      <c r="CJ37" s="201"/>
      <c r="CK37" s="201"/>
      <c r="CL37" s="201"/>
      <c r="CM37" s="201"/>
      <c r="CN37" s="201"/>
      <c r="CO37" s="201"/>
      <c r="CP37" s="201"/>
      <c r="CQ37" s="201"/>
      <c r="CR37" s="201"/>
      <c r="CS37" s="201"/>
      <c r="CT37" s="201"/>
      <c r="CU37" s="201"/>
      <c r="CV37" s="201"/>
      <c r="CW37" s="201"/>
      <c r="CX37" s="201"/>
      <c r="CY37" s="201"/>
      <c r="CZ37" s="201"/>
      <c r="DA37" s="201"/>
      <c r="DB37" s="201"/>
      <c r="DC37" s="201"/>
      <c r="DD37" s="201"/>
      <c r="DE37" s="201"/>
      <c r="DF37" s="201"/>
      <c r="DG37" s="201"/>
      <c r="DH37" s="201"/>
      <c r="DI37" s="201"/>
      <c r="DJ37" s="201"/>
      <c r="DK37" s="201"/>
      <c r="DL37" s="201"/>
      <c r="DM37" s="201"/>
      <c r="DN37" s="201"/>
      <c r="DO37" s="201"/>
      <c r="DP37" s="201"/>
      <c r="DQ37" s="201"/>
      <c r="DR37" s="201"/>
      <c r="DS37" s="201"/>
      <c r="DT37" s="201"/>
      <c r="DU37" s="201"/>
      <c r="DV37" s="201"/>
      <c r="DW37" s="201"/>
      <c r="DX37" s="201"/>
      <c r="DY37" s="201"/>
      <c r="DZ37" s="201"/>
      <c r="EA37" s="201"/>
      <c r="EB37" s="201"/>
      <c r="EC37" s="201"/>
      <c r="ED37" s="201"/>
      <c r="EE37" s="201"/>
      <c r="EF37" s="201"/>
      <c r="EG37" s="201"/>
      <c r="EH37" s="201"/>
      <c r="EI37" s="201"/>
      <c r="EJ37" s="201"/>
      <c r="EK37" s="201"/>
      <c r="EL37" s="201"/>
      <c r="EM37" s="201"/>
      <c r="EN37" s="201"/>
      <c r="EO37" s="201"/>
      <c r="EP37" s="201"/>
      <c r="EQ37" s="201"/>
      <c r="ER37" s="201"/>
      <c r="ES37" s="201"/>
    </row>
    <row r="38" spans="1:149" s="63" customFormat="1" ht="22.8">
      <c r="A38" s="228">
        <v>21</v>
      </c>
      <c r="B38" s="178" t="s">
        <v>24</v>
      </c>
      <c r="C38" s="179">
        <v>8201</v>
      </c>
      <c r="D38" s="180" t="s">
        <v>49</v>
      </c>
      <c r="E38" s="181" t="s">
        <v>38</v>
      </c>
      <c r="F38" s="182">
        <v>3</v>
      </c>
      <c r="G38" s="183"/>
      <c r="H38" s="183" t="s">
        <v>29</v>
      </c>
      <c r="I38" s="183">
        <v>3</v>
      </c>
      <c r="J38" s="183"/>
      <c r="K38" s="183">
        <v>1</v>
      </c>
      <c r="L38" s="183" t="s">
        <v>27</v>
      </c>
      <c r="M38" s="183">
        <v>3</v>
      </c>
      <c r="N38" s="183">
        <v>3</v>
      </c>
      <c r="O38" s="183">
        <v>3</v>
      </c>
      <c r="P38" s="183">
        <v>3</v>
      </c>
      <c r="Q38" s="183">
        <v>3</v>
      </c>
      <c r="R38" s="183" t="s">
        <v>34</v>
      </c>
      <c r="S38" s="183"/>
      <c r="T38" s="183" t="s">
        <v>34</v>
      </c>
      <c r="U38" s="183">
        <v>3</v>
      </c>
      <c r="V38" s="183" t="s">
        <v>34</v>
      </c>
      <c r="W38" s="183">
        <v>3</v>
      </c>
      <c r="X38" s="183" t="s">
        <v>34</v>
      </c>
      <c r="Y38" s="183" t="s">
        <v>34</v>
      </c>
      <c r="Z38" s="183" t="s">
        <v>34</v>
      </c>
      <c r="AA38" s="183">
        <v>3</v>
      </c>
      <c r="AB38" s="183">
        <v>3</v>
      </c>
      <c r="AC38" s="183">
        <v>3</v>
      </c>
      <c r="AD38" s="183">
        <v>3</v>
      </c>
      <c r="AE38" s="183"/>
      <c r="AF38" s="183">
        <v>3</v>
      </c>
      <c r="AG38" s="183" t="s">
        <v>34</v>
      </c>
      <c r="AH38" s="183">
        <v>3</v>
      </c>
      <c r="AI38" s="183">
        <v>3</v>
      </c>
      <c r="AJ38" s="184"/>
      <c r="AK38" s="264">
        <f t="shared" si="9"/>
        <v>2</v>
      </c>
      <c r="AL38" s="265">
        <f t="shared" si="10"/>
        <v>0</v>
      </c>
      <c r="AM38" s="266">
        <f t="shared" si="11"/>
        <v>0</v>
      </c>
      <c r="AN38" s="266"/>
      <c r="AO38" s="266">
        <f t="shared" si="12"/>
        <v>0</v>
      </c>
      <c r="AP38" s="266"/>
      <c r="AQ38" s="266">
        <f t="shared" si="13"/>
        <v>0</v>
      </c>
      <c r="AR38" s="266">
        <f t="shared" si="14"/>
        <v>0.5</v>
      </c>
      <c r="AS38" s="266"/>
      <c r="AT38" s="266">
        <f t="shared" si="15"/>
        <v>0</v>
      </c>
      <c r="AU38" s="266">
        <f t="shared" si="16"/>
        <v>3.5</v>
      </c>
      <c r="AV38" s="266">
        <f t="shared" si="17"/>
        <v>1</v>
      </c>
      <c r="AW38" s="207"/>
      <c r="AX38" s="208"/>
      <c r="AY38" s="209">
        <f t="shared" si="29"/>
        <v>7</v>
      </c>
      <c r="AZ38" s="210">
        <f t="shared" si="30"/>
        <v>23</v>
      </c>
      <c r="BA38" s="268">
        <f t="shared" si="20"/>
        <v>30</v>
      </c>
      <c r="BB38" s="211">
        <f t="shared" si="22"/>
        <v>0</v>
      </c>
      <c r="BC38" s="212">
        <f t="shared" si="23"/>
        <v>0</v>
      </c>
      <c r="BD38" s="212">
        <f t="shared" si="24"/>
        <v>0</v>
      </c>
      <c r="BE38" s="212">
        <f t="shared" si="25"/>
        <v>0</v>
      </c>
      <c r="BF38" s="212">
        <f t="shared" si="26"/>
        <v>0</v>
      </c>
      <c r="BG38" s="212">
        <f t="shared" si="27"/>
        <v>0</v>
      </c>
      <c r="BH38" s="234">
        <f t="shared" si="6"/>
        <v>0</v>
      </c>
      <c r="BI38" s="209"/>
      <c r="BJ38" s="209">
        <f t="shared" si="28"/>
        <v>0</v>
      </c>
      <c r="BK38" s="235">
        <f t="shared" si="8"/>
        <v>0</v>
      </c>
      <c r="BL38" s="273">
        <f t="shared" si="21"/>
        <v>30</v>
      </c>
      <c r="BM38" s="201"/>
      <c r="BN38" s="201"/>
      <c r="BO38" s="201"/>
      <c r="BP38" s="201"/>
      <c r="BQ38" s="201"/>
      <c r="BR38" s="201"/>
      <c r="BS38" s="201"/>
      <c r="BT38" s="201"/>
      <c r="BU38" s="201"/>
      <c r="BV38" s="201"/>
      <c r="BW38" s="201"/>
      <c r="BX38" s="201"/>
      <c r="BY38" s="201"/>
      <c r="BZ38" s="201"/>
      <c r="CA38" s="201"/>
      <c r="CB38" s="201"/>
      <c r="CC38" s="201"/>
      <c r="CD38" s="201"/>
      <c r="CE38" s="201"/>
      <c r="CF38" s="201"/>
      <c r="CG38" s="201"/>
      <c r="CH38" s="201"/>
      <c r="CI38" s="201"/>
      <c r="CJ38" s="201"/>
      <c r="CK38" s="201"/>
      <c r="CL38" s="201"/>
      <c r="CM38" s="201"/>
      <c r="CN38" s="201"/>
      <c r="CO38" s="201"/>
      <c r="CP38" s="201"/>
      <c r="CQ38" s="201"/>
      <c r="CR38" s="201"/>
      <c r="CS38" s="201"/>
      <c r="CT38" s="201"/>
      <c r="CU38" s="201"/>
      <c r="CV38" s="201"/>
      <c r="CW38" s="201"/>
      <c r="CX38" s="201"/>
      <c r="CY38" s="201"/>
      <c r="CZ38" s="201"/>
      <c r="DA38" s="201"/>
      <c r="DB38" s="201"/>
      <c r="DC38" s="201"/>
      <c r="DD38" s="201"/>
      <c r="DE38" s="201"/>
      <c r="DF38" s="201"/>
      <c r="DG38" s="201"/>
      <c r="DH38" s="201"/>
      <c r="DI38" s="201"/>
      <c r="DJ38" s="201"/>
      <c r="DK38" s="201"/>
      <c r="DL38" s="201"/>
      <c r="DM38" s="201"/>
      <c r="DN38" s="201"/>
      <c r="DO38" s="201"/>
      <c r="DP38" s="201"/>
      <c r="DQ38" s="201"/>
      <c r="DR38" s="201"/>
      <c r="DS38" s="201"/>
      <c r="DT38" s="201"/>
      <c r="DU38" s="201"/>
      <c r="DV38" s="201"/>
      <c r="DW38" s="201"/>
      <c r="DX38" s="201"/>
      <c r="DY38" s="201"/>
      <c r="DZ38" s="201"/>
      <c r="EA38" s="201"/>
      <c r="EB38" s="201"/>
      <c r="EC38" s="201"/>
      <c r="ED38" s="201"/>
      <c r="EE38" s="201"/>
      <c r="EF38" s="201"/>
      <c r="EG38" s="201"/>
      <c r="EH38" s="201"/>
      <c r="EI38" s="201"/>
      <c r="EJ38" s="201"/>
      <c r="EK38" s="201"/>
      <c r="EL38" s="201"/>
      <c r="EM38" s="201"/>
      <c r="EN38" s="201"/>
      <c r="EO38" s="201"/>
      <c r="EP38" s="201"/>
      <c r="EQ38" s="201"/>
      <c r="ER38" s="201"/>
      <c r="ES38" s="201"/>
    </row>
    <row r="39" spans="1:149" s="63" customFormat="1" ht="36">
      <c r="A39" s="228">
        <v>22</v>
      </c>
      <c r="B39" s="191" t="s">
        <v>24</v>
      </c>
      <c r="C39" s="164">
        <v>8203</v>
      </c>
      <c r="D39" s="165" t="s">
        <v>54</v>
      </c>
      <c r="E39" s="185" t="s">
        <v>38</v>
      </c>
      <c r="F39" s="167"/>
      <c r="G39" s="168">
        <v>2</v>
      </c>
      <c r="H39" s="168">
        <v>2</v>
      </c>
      <c r="I39" s="168">
        <v>2</v>
      </c>
      <c r="J39" s="168">
        <v>2</v>
      </c>
      <c r="K39" s="168">
        <v>2</v>
      </c>
      <c r="L39" s="168"/>
      <c r="M39" s="168" t="s">
        <v>27</v>
      </c>
      <c r="N39" s="168" t="s">
        <v>193</v>
      </c>
      <c r="O39" s="168" t="s">
        <v>193</v>
      </c>
      <c r="P39" s="168" t="s">
        <v>193</v>
      </c>
      <c r="Q39" s="168" t="s">
        <v>193</v>
      </c>
      <c r="R39" s="168" t="s">
        <v>193</v>
      </c>
      <c r="S39" s="168"/>
      <c r="T39" s="168" t="s">
        <v>27</v>
      </c>
      <c r="U39" s="168" t="s">
        <v>193</v>
      </c>
      <c r="V39" s="168" t="s">
        <v>193</v>
      </c>
      <c r="W39" s="168">
        <v>2</v>
      </c>
      <c r="X39" s="168" t="s">
        <v>193</v>
      </c>
      <c r="Y39" s="168">
        <v>2</v>
      </c>
      <c r="Z39" s="168"/>
      <c r="AA39" s="168" t="s">
        <v>193</v>
      </c>
      <c r="AB39" s="168">
        <v>2</v>
      </c>
      <c r="AC39" s="168" t="s">
        <v>193</v>
      </c>
      <c r="AD39" s="168" t="s">
        <v>193</v>
      </c>
      <c r="AE39" s="168">
        <v>2</v>
      </c>
      <c r="AF39" s="168"/>
      <c r="AG39" s="168" t="s">
        <v>30</v>
      </c>
      <c r="AH39" s="168" t="s">
        <v>193</v>
      </c>
      <c r="AI39" s="168" t="s">
        <v>29</v>
      </c>
      <c r="AJ39" s="169"/>
      <c r="AK39" s="264">
        <f t="shared" si="9"/>
        <v>2</v>
      </c>
      <c r="AL39" s="265">
        <f t="shared" si="10"/>
        <v>0</v>
      </c>
      <c r="AM39" s="266">
        <f t="shared" si="11"/>
        <v>6</v>
      </c>
      <c r="AN39" s="266"/>
      <c r="AO39" s="266">
        <f t="shared" si="12"/>
        <v>0</v>
      </c>
      <c r="AP39" s="266"/>
      <c r="AQ39" s="266">
        <f t="shared" si="13"/>
        <v>9</v>
      </c>
      <c r="AR39" s="266">
        <f t="shared" si="14"/>
        <v>7.5</v>
      </c>
      <c r="AS39" s="266"/>
      <c r="AT39" s="266">
        <f t="shared" si="15"/>
        <v>0</v>
      </c>
      <c r="AU39" s="266">
        <f t="shared" si="16"/>
        <v>0.5</v>
      </c>
      <c r="AV39" s="266">
        <f t="shared" si="17"/>
        <v>1</v>
      </c>
      <c r="AW39" s="207"/>
      <c r="AX39" s="208"/>
      <c r="AY39" s="209">
        <f t="shared" si="29"/>
        <v>26</v>
      </c>
      <c r="AZ39" s="210">
        <f t="shared" si="30"/>
        <v>0</v>
      </c>
      <c r="BA39" s="268">
        <f t="shared" si="20"/>
        <v>26</v>
      </c>
      <c r="BB39" s="211">
        <f t="shared" si="22"/>
        <v>0</v>
      </c>
      <c r="BC39" s="212">
        <f t="shared" si="23"/>
        <v>0</v>
      </c>
      <c r="BD39" s="212">
        <f t="shared" si="24"/>
        <v>0</v>
      </c>
      <c r="BE39" s="212">
        <f t="shared" si="25"/>
        <v>0</v>
      </c>
      <c r="BF39" s="212">
        <f t="shared" si="26"/>
        <v>0</v>
      </c>
      <c r="BG39" s="212">
        <f t="shared" si="27"/>
        <v>0</v>
      </c>
      <c r="BH39" s="234">
        <f t="shared" si="6"/>
        <v>0</v>
      </c>
      <c r="BI39" s="209"/>
      <c r="BJ39" s="209">
        <f t="shared" si="28"/>
        <v>0</v>
      </c>
      <c r="BK39" s="235">
        <f t="shared" si="8"/>
        <v>0</v>
      </c>
      <c r="BL39" s="273">
        <f t="shared" si="21"/>
        <v>26</v>
      </c>
      <c r="BM39" s="201"/>
      <c r="BN39" s="201"/>
      <c r="BO39" s="201"/>
      <c r="BP39" s="201"/>
      <c r="BQ39" s="201"/>
      <c r="BR39" s="201"/>
      <c r="BS39" s="201"/>
      <c r="BT39" s="201"/>
      <c r="BU39" s="201"/>
      <c r="BV39" s="201"/>
      <c r="BW39" s="201"/>
      <c r="BX39" s="201"/>
      <c r="BY39" s="201"/>
      <c r="BZ39" s="201"/>
      <c r="CA39" s="201"/>
      <c r="CB39" s="201"/>
      <c r="CC39" s="201"/>
      <c r="CD39" s="201"/>
      <c r="CE39" s="201"/>
      <c r="CF39" s="201"/>
      <c r="CG39" s="201"/>
      <c r="CH39" s="201"/>
      <c r="CI39" s="201"/>
      <c r="CJ39" s="201"/>
      <c r="CK39" s="201"/>
      <c r="CV39" s="201"/>
      <c r="CW39" s="201"/>
      <c r="CX39" s="201"/>
      <c r="CY39" s="201"/>
      <c r="CZ39" s="201"/>
      <c r="DA39" s="201"/>
      <c r="DB39" s="201"/>
      <c r="DC39" s="201"/>
      <c r="DD39" s="201"/>
      <c r="DE39" s="201"/>
      <c r="DF39" s="201"/>
      <c r="DG39" s="201"/>
      <c r="DH39" s="201"/>
      <c r="DI39" s="201"/>
      <c r="DJ39" s="201"/>
      <c r="DK39" s="201"/>
      <c r="DL39" s="201"/>
      <c r="DM39" s="201"/>
      <c r="DN39" s="201"/>
      <c r="DO39" s="201"/>
      <c r="DP39" s="201"/>
      <c r="DQ39" s="201"/>
      <c r="DR39" s="201"/>
      <c r="DS39" s="201"/>
      <c r="DT39" s="201"/>
      <c r="DU39" s="201"/>
      <c r="DV39" s="201"/>
      <c r="DW39" s="201"/>
      <c r="DX39" s="201"/>
      <c r="DY39" s="201"/>
      <c r="DZ39" s="201"/>
      <c r="EA39" s="201"/>
      <c r="EB39" s="201"/>
      <c r="EC39" s="201"/>
      <c r="ED39" s="201"/>
      <c r="EE39" s="201"/>
      <c r="EF39" s="201"/>
      <c r="EG39" s="201"/>
      <c r="EH39" s="201"/>
      <c r="EI39" s="201"/>
      <c r="EJ39" s="201"/>
      <c r="EK39" s="201"/>
      <c r="EL39" s="201"/>
      <c r="EM39" s="201"/>
      <c r="EN39" s="201"/>
      <c r="EO39" s="201"/>
      <c r="EP39" s="201"/>
      <c r="EQ39" s="201"/>
      <c r="ER39" s="201"/>
      <c r="ES39" s="201"/>
    </row>
    <row r="40" spans="1:149" s="63" customFormat="1" ht="36">
      <c r="A40" s="249">
        <v>23</v>
      </c>
      <c r="B40" s="191" t="s">
        <v>24</v>
      </c>
      <c r="C40" s="164">
        <v>8205</v>
      </c>
      <c r="D40" s="165" t="s">
        <v>63</v>
      </c>
      <c r="E40" s="185" t="s">
        <v>38</v>
      </c>
      <c r="F40" s="167" t="s">
        <v>250</v>
      </c>
      <c r="G40" s="168" t="s">
        <v>250</v>
      </c>
      <c r="H40" s="168" t="s">
        <v>250</v>
      </c>
      <c r="I40" s="168" t="s">
        <v>250</v>
      </c>
      <c r="J40" s="168" t="s">
        <v>250</v>
      </c>
      <c r="K40" s="168"/>
      <c r="L40" s="168"/>
      <c r="M40" s="168" t="s">
        <v>250</v>
      </c>
      <c r="N40" s="168" t="s">
        <v>250</v>
      </c>
      <c r="O40" s="168" t="s">
        <v>250</v>
      </c>
      <c r="P40" s="168" t="s">
        <v>250</v>
      </c>
      <c r="Q40" s="168" t="s">
        <v>250</v>
      </c>
      <c r="R40" s="168"/>
      <c r="S40" s="168"/>
      <c r="T40" s="168" t="s">
        <v>250</v>
      </c>
      <c r="U40" s="168" t="s">
        <v>250</v>
      </c>
      <c r="V40" s="168" t="s">
        <v>250</v>
      </c>
      <c r="W40" s="168" t="s">
        <v>29</v>
      </c>
      <c r="X40" s="168" t="s">
        <v>565</v>
      </c>
      <c r="Y40" s="168"/>
      <c r="Z40" s="168"/>
      <c r="AA40" s="168" t="s">
        <v>29</v>
      </c>
      <c r="AB40" s="168" t="s">
        <v>29</v>
      </c>
      <c r="AC40" s="168" t="s">
        <v>29</v>
      </c>
      <c r="AD40" s="168" t="s">
        <v>29</v>
      </c>
      <c r="AE40" s="168" t="s">
        <v>29</v>
      </c>
      <c r="AF40" s="168" t="s">
        <v>29</v>
      </c>
      <c r="AG40" s="168"/>
      <c r="AH40" s="168" t="s">
        <v>29</v>
      </c>
      <c r="AI40" s="168" t="s">
        <v>29</v>
      </c>
      <c r="AJ40" s="169"/>
      <c r="AK40" s="264">
        <f t="shared" si="9"/>
        <v>0</v>
      </c>
      <c r="AL40" s="265">
        <f t="shared" si="10"/>
        <v>0</v>
      </c>
      <c r="AM40" s="266">
        <f t="shared" si="11"/>
        <v>0</v>
      </c>
      <c r="AN40" s="266"/>
      <c r="AO40" s="266">
        <f t="shared" si="12"/>
        <v>0</v>
      </c>
      <c r="AP40" s="266"/>
      <c r="AQ40" s="266">
        <f t="shared" si="13"/>
        <v>0</v>
      </c>
      <c r="AR40" s="266">
        <f t="shared" si="14"/>
        <v>0</v>
      </c>
      <c r="AS40" s="266"/>
      <c r="AT40" s="266">
        <f t="shared" si="15"/>
        <v>4.875</v>
      </c>
      <c r="AU40" s="266">
        <f t="shared" si="16"/>
        <v>0</v>
      </c>
      <c r="AV40" s="266">
        <f t="shared" si="17"/>
        <v>22</v>
      </c>
      <c r="AW40" s="207"/>
      <c r="AX40" s="208"/>
      <c r="AY40" s="209">
        <f t="shared" si="29"/>
        <v>26.875</v>
      </c>
      <c r="AZ40" s="210">
        <f t="shared" si="30"/>
        <v>0</v>
      </c>
      <c r="BA40" s="268">
        <f t="shared" si="20"/>
        <v>26.875</v>
      </c>
      <c r="BB40" s="211">
        <f t="shared" si="22"/>
        <v>0</v>
      </c>
      <c r="BC40" s="212">
        <f>COUNTIF(F40:AJ40,"LS2")*0.5+COUNTIF(F40:AJ40,"L2, LS2")*0.5+COUNTIF(F40:AJ40,"LS2, LC1")*0.5</f>
        <v>0</v>
      </c>
      <c r="BD40" s="212">
        <f t="shared" si="24"/>
        <v>0</v>
      </c>
      <c r="BE40" s="212">
        <f t="shared" si="25"/>
        <v>0</v>
      </c>
      <c r="BF40" s="212">
        <f t="shared" si="26"/>
        <v>0</v>
      </c>
      <c r="BG40" s="212">
        <f t="shared" si="27"/>
        <v>0</v>
      </c>
      <c r="BH40" s="234">
        <f>SUM(BB40:BG40)</f>
        <v>0</v>
      </c>
      <c r="BI40" s="209"/>
      <c r="BJ40" s="209">
        <f t="shared" si="28"/>
        <v>0</v>
      </c>
      <c r="BK40" s="235">
        <f t="shared" si="8"/>
        <v>0</v>
      </c>
      <c r="BL40" s="273">
        <f t="shared" si="21"/>
        <v>26.875</v>
      </c>
      <c r="BM40" s="201"/>
      <c r="BN40" s="201"/>
      <c r="BO40" s="201"/>
      <c r="BP40" s="201"/>
      <c r="BQ40" s="201"/>
      <c r="BR40" s="201"/>
      <c r="BS40" s="201"/>
      <c r="BT40" s="201"/>
      <c r="BU40" s="201"/>
      <c r="BV40" s="201"/>
      <c r="BW40" s="201"/>
      <c r="BX40" s="201"/>
      <c r="BY40" s="201"/>
      <c r="BZ40" s="201"/>
      <c r="CA40" s="201"/>
      <c r="CB40" s="201"/>
      <c r="CC40" s="201"/>
      <c r="CD40" s="201"/>
      <c r="CE40" s="201"/>
      <c r="CF40" s="201"/>
      <c r="CG40" s="201"/>
      <c r="CH40" s="201"/>
      <c r="CI40" s="201"/>
      <c r="CJ40" s="201"/>
      <c r="CK40" s="201"/>
      <c r="CV40" s="201"/>
      <c r="CW40" s="201"/>
      <c r="CX40" s="201"/>
      <c r="CY40" s="201"/>
      <c r="CZ40" s="201"/>
      <c r="DA40" s="201"/>
      <c r="DB40" s="201"/>
      <c r="DC40" s="201"/>
      <c r="DD40" s="201"/>
      <c r="DE40" s="201"/>
      <c r="DF40" s="201"/>
      <c r="DG40" s="201"/>
      <c r="DH40" s="201"/>
      <c r="DI40" s="201"/>
      <c r="DJ40" s="201"/>
      <c r="DK40" s="201"/>
      <c r="DL40" s="201"/>
      <c r="DM40" s="201"/>
      <c r="DN40" s="201"/>
      <c r="DO40" s="201"/>
      <c r="DP40" s="201"/>
      <c r="DQ40" s="201"/>
      <c r="DR40" s="201"/>
      <c r="DS40" s="201"/>
      <c r="DT40" s="201"/>
      <c r="DU40" s="201"/>
      <c r="DV40" s="201"/>
      <c r="DW40" s="201"/>
      <c r="DX40" s="201"/>
      <c r="DY40" s="201"/>
      <c r="DZ40" s="201"/>
      <c r="EA40" s="201"/>
      <c r="EB40" s="201"/>
      <c r="EC40" s="201"/>
      <c r="ED40" s="201"/>
      <c r="EE40" s="201"/>
      <c r="EF40" s="201"/>
      <c r="EG40" s="201"/>
      <c r="EH40" s="201"/>
      <c r="EI40" s="201"/>
      <c r="EJ40" s="201"/>
      <c r="EK40" s="201"/>
      <c r="EL40" s="201"/>
      <c r="EM40" s="201"/>
      <c r="EN40" s="201"/>
      <c r="EO40" s="201"/>
      <c r="EP40" s="201"/>
      <c r="EQ40" s="201"/>
      <c r="ER40" s="201"/>
      <c r="ES40" s="201"/>
    </row>
    <row r="41" spans="1:149" s="63" customFormat="1" ht="22.8">
      <c r="A41" s="228">
        <v>24</v>
      </c>
      <c r="B41" s="191" t="s">
        <v>24</v>
      </c>
      <c r="C41" s="164">
        <v>8213</v>
      </c>
      <c r="D41" s="165" t="s">
        <v>62</v>
      </c>
      <c r="E41" s="185" t="s">
        <v>38</v>
      </c>
      <c r="F41" s="167" t="s">
        <v>29</v>
      </c>
      <c r="G41" s="168" t="s">
        <v>29</v>
      </c>
      <c r="H41" s="168" t="s">
        <v>29</v>
      </c>
      <c r="I41" s="168" t="s">
        <v>29</v>
      </c>
      <c r="J41" s="168" t="s">
        <v>29</v>
      </c>
      <c r="K41" s="168" t="s">
        <v>29</v>
      </c>
      <c r="L41" s="168"/>
      <c r="M41" s="168" t="s">
        <v>29</v>
      </c>
      <c r="N41" s="168" t="s">
        <v>29</v>
      </c>
      <c r="O41" s="168" t="s">
        <v>29</v>
      </c>
      <c r="P41" s="168" t="s">
        <v>29</v>
      </c>
      <c r="Q41" s="168"/>
      <c r="R41" s="168" t="s">
        <v>29</v>
      </c>
      <c r="S41" s="168"/>
      <c r="T41" s="168"/>
      <c r="U41" s="168" t="s">
        <v>29</v>
      </c>
      <c r="V41" s="168" t="s">
        <v>29</v>
      </c>
      <c r="W41" s="168" t="s">
        <v>29</v>
      </c>
      <c r="X41" s="168" t="s">
        <v>29</v>
      </c>
      <c r="Y41" s="168" t="s">
        <v>29</v>
      </c>
      <c r="Z41" s="168"/>
      <c r="AA41" s="168" t="s">
        <v>29</v>
      </c>
      <c r="AB41" s="168" t="s">
        <v>29</v>
      </c>
      <c r="AC41" s="168" t="s">
        <v>29</v>
      </c>
      <c r="AD41" s="168" t="s">
        <v>29</v>
      </c>
      <c r="AE41" s="168" t="s">
        <v>29</v>
      </c>
      <c r="AF41" s="168" t="s">
        <v>29</v>
      </c>
      <c r="AG41" s="168"/>
      <c r="AH41" s="168" t="s">
        <v>29</v>
      </c>
      <c r="AI41" s="168" t="s">
        <v>29</v>
      </c>
      <c r="AJ41" s="169"/>
      <c r="AK41" s="264">
        <f t="shared" si="9"/>
        <v>0</v>
      </c>
      <c r="AL41" s="265">
        <f t="shared" si="10"/>
        <v>0</v>
      </c>
      <c r="AM41" s="266">
        <f t="shared" si="11"/>
        <v>0</v>
      </c>
      <c r="AN41" s="266"/>
      <c r="AO41" s="266">
        <f t="shared" si="12"/>
        <v>0</v>
      </c>
      <c r="AP41" s="266"/>
      <c r="AQ41" s="266">
        <f t="shared" si="13"/>
        <v>0</v>
      </c>
      <c r="AR41" s="266">
        <f t="shared" si="14"/>
        <v>0</v>
      </c>
      <c r="AS41" s="266"/>
      <c r="AT41" s="266">
        <f t="shared" si="15"/>
        <v>0</v>
      </c>
      <c r="AU41" s="266">
        <f t="shared" si="16"/>
        <v>0</v>
      </c>
      <c r="AV41" s="266">
        <f t="shared" si="17"/>
        <v>24</v>
      </c>
      <c r="AW41" s="207"/>
      <c r="AX41" s="208"/>
      <c r="AY41" s="209">
        <f t="shared" si="29"/>
        <v>24</v>
      </c>
      <c r="AZ41" s="210">
        <f t="shared" si="30"/>
        <v>0</v>
      </c>
      <c r="BA41" s="268">
        <f t="shared" si="20"/>
        <v>24</v>
      </c>
      <c r="BB41" s="211">
        <f t="shared" si="22"/>
        <v>0</v>
      </c>
      <c r="BC41" s="212">
        <f t="shared" ref="BC41:BC62" si="31">COUNTIF(F41:AJ41,"LS2")*0.5+COUNTIF(F41:AJ41,"L2, LS2")*0.5+COUNTIF(F41:AJ41,"LS2, LC1")*0.5+COUNTIF(F41:AJ41,"H2, S2")*0.5</f>
        <v>0</v>
      </c>
      <c r="BD41" s="212">
        <f t="shared" si="24"/>
        <v>0</v>
      </c>
      <c r="BE41" s="212">
        <f t="shared" si="25"/>
        <v>0</v>
      </c>
      <c r="BF41" s="212">
        <f t="shared" si="26"/>
        <v>0</v>
      </c>
      <c r="BG41" s="212">
        <f t="shared" si="27"/>
        <v>0</v>
      </c>
      <c r="BH41" s="234">
        <f t="shared" si="6"/>
        <v>0</v>
      </c>
      <c r="BI41" s="209"/>
      <c r="BJ41" s="209">
        <f t="shared" si="28"/>
        <v>0</v>
      </c>
      <c r="BK41" s="235">
        <f t="shared" si="8"/>
        <v>0</v>
      </c>
      <c r="BL41" s="273">
        <f t="shared" si="21"/>
        <v>24</v>
      </c>
      <c r="BM41" s="201"/>
      <c r="BN41" s="201"/>
      <c r="BO41" s="201"/>
      <c r="BP41" s="201"/>
      <c r="BQ41" s="201"/>
      <c r="BR41" s="201"/>
      <c r="BS41" s="201"/>
      <c r="BT41" s="201"/>
      <c r="BU41" s="201"/>
      <c r="BV41" s="201"/>
      <c r="BW41" s="201"/>
      <c r="BX41" s="201"/>
      <c r="BY41" s="201"/>
      <c r="BZ41" s="201"/>
      <c r="CA41" s="201"/>
      <c r="CB41" s="201"/>
      <c r="CC41" s="201"/>
      <c r="CD41" s="201"/>
      <c r="CE41" s="201"/>
      <c r="CF41" s="201"/>
      <c r="CG41" s="201"/>
      <c r="CH41" s="201"/>
      <c r="CI41" s="201"/>
      <c r="CJ41" s="201"/>
      <c r="CK41" s="201"/>
    </row>
    <row r="42" spans="1:149" s="63" customFormat="1" ht="22.8">
      <c r="A42" s="228">
        <v>25</v>
      </c>
      <c r="B42" s="191" t="s">
        <v>24</v>
      </c>
      <c r="C42" s="164">
        <v>8217</v>
      </c>
      <c r="D42" s="165" t="s">
        <v>67</v>
      </c>
      <c r="E42" s="185" t="s">
        <v>38</v>
      </c>
      <c r="F42" s="167" t="s">
        <v>29</v>
      </c>
      <c r="G42" s="168" t="s">
        <v>29</v>
      </c>
      <c r="H42" s="168" t="s">
        <v>29</v>
      </c>
      <c r="I42" s="168" t="s">
        <v>29</v>
      </c>
      <c r="J42" s="168" t="s">
        <v>29</v>
      </c>
      <c r="K42" s="168" t="s">
        <v>29</v>
      </c>
      <c r="L42" s="168"/>
      <c r="M42" s="168" t="s">
        <v>29</v>
      </c>
      <c r="N42" s="168" t="s">
        <v>29</v>
      </c>
      <c r="O42" s="168" t="s">
        <v>29</v>
      </c>
      <c r="P42" s="168" t="s">
        <v>29</v>
      </c>
      <c r="Q42" s="168" t="s">
        <v>29</v>
      </c>
      <c r="R42" s="168" t="s">
        <v>29</v>
      </c>
      <c r="S42" s="168"/>
      <c r="T42" s="168" t="s">
        <v>29</v>
      </c>
      <c r="U42" s="168" t="s">
        <v>29</v>
      </c>
      <c r="V42" s="168" t="s">
        <v>29</v>
      </c>
      <c r="W42" s="168" t="s">
        <v>29</v>
      </c>
      <c r="X42" s="168" t="s">
        <v>29</v>
      </c>
      <c r="Y42" s="168" t="s">
        <v>29</v>
      </c>
      <c r="Z42" s="168"/>
      <c r="AA42" s="168" t="s">
        <v>29</v>
      </c>
      <c r="AB42" s="168" t="s">
        <v>29</v>
      </c>
      <c r="AC42" s="168" t="s">
        <v>29</v>
      </c>
      <c r="AD42" s="168" t="s">
        <v>29</v>
      </c>
      <c r="AE42" s="168" t="s">
        <v>29</v>
      </c>
      <c r="AF42" s="168" t="s">
        <v>29</v>
      </c>
      <c r="AG42" s="168"/>
      <c r="AH42" s="168" t="s">
        <v>29</v>
      </c>
      <c r="AI42" s="168" t="s">
        <v>29</v>
      </c>
      <c r="AJ42" s="169"/>
      <c r="AK42" s="264">
        <f t="shared" si="9"/>
        <v>0</v>
      </c>
      <c r="AL42" s="265">
        <f t="shared" si="10"/>
        <v>0</v>
      </c>
      <c r="AM42" s="266">
        <f t="shared" si="11"/>
        <v>0</v>
      </c>
      <c r="AN42" s="266"/>
      <c r="AO42" s="266">
        <f t="shared" si="12"/>
        <v>0</v>
      </c>
      <c r="AP42" s="266"/>
      <c r="AQ42" s="266">
        <f t="shared" si="13"/>
        <v>0</v>
      </c>
      <c r="AR42" s="266">
        <f t="shared" si="14"/>
        <v>0</v>
      </c>
      <c r="AS42" s="266"/>
      <c r="AT42" s="266">
        <f t="shared" si="15"/>
        <v>0</v>
      </c>
      <c r="AU42" s="266">
        <f t="shared" si="16"/>
        <v>0</v>
      </c>
      <c r="AV42" s="266">
        <f t="shared" si="17"/>
        <v>26</v>
      </c>
      <c r="AW42" s="207"/>
      <c r="AX42" s="208"/>
      <c r="AY42" s="209">
        <f t="shared" si="29"/>
        <v>26</v>
      </c>
      <c r="AZ42" s="210">
        <f t="shared" si="30"/>
        <v>0</v>
      </c>
      <c r="BA42" s="268">
        <f t="shared" si="20"/>
        <v>26</v>
      </c>
      <c r="BB42" s="211">
        <f t="shared" si="22"/>
        <v>0</v>
      </c>
      <c r="BC42" s="212">
        <f t="shared" si="31"/>
        <v>0</v>
      </c>
      <c r="BD42" s="212">
        <f t="shared" si="24"/>
        <v>0</v>
      </c>
      <c r="BE42" s="212">
        <f t="shared" si="25"/>
        <v>0</v>
      </c>
      <c r="BF42" s="212">
        <f t="shared" si="26"/>
        <v>0</v>
      </c>
      <c r="BG42" s="212">
        <f t="shared" si="27"/>
        <v>0</v>
      </c>
      <c r="BH42" s="234">
        <f t="shared" si="6"/>
        <v>0</v>
      </c>
      <c r="BI42" s="209"/>
      <c r="BJ42" s="209">
        <f t="shared" si="28"/>
        <v>0</v>
      </c>
      <c r="BK42" s="235">
        <f t="shared" si="8"/>
        <v>0</v>
      </c>
      <c r="BL42" s="273">
        <f t="shared" si="21"/>
        <v>26</v>
      </c>
      <c r="BM42" s="201"/>
      <c r="BN42" s="201"/>
      <c r="BO42" s="201"/>
      <c r="BP42" s="201"/>
      <c r="BQ42" s="201"/>
      <c r="BR42" s="201"/>
      <c r="BS42" s="201"/>
      <c r="BT42" s="201"/>
      <c r="BU42" s="201"/>
      <c r="BV42" s="201"/>
      <c r="BW42" s="201"/>
      <c r="BX42" s="201"/>
      <c r="BY42" s="201"/>
      <c r="BZ42" s="201"/>
      <c r="CA42" s="201"/>
      <c r="CB42" s="201"/>
      <c r="CC42" s="201"/>
      <c r="CD42" s="201"/>
      <c r="CE42" s="201"/>
      <c r="CF42" s="201"/>
      <c r="CG42" s="201"/>
      <c r="CH42" s="201"/>
      <c r="CI42" s="201"/>
      <c r="CJ42" s="201"/>
      <c r="CK42" s="201"/>
    </row>
    <row r="43" spans="1:149" s="63" customFormat="1" ht="22.8">
      <c r="A43" s="249">
        <v>26</v>
      </c>
      <c r="B43" s="191" t="s">
        <v>24</v>
      </c>
      <c r="C43" s="164">
        <v>8219</v>
      </c>
      <c r="D43" s="165" t="s">
        <v>42</v>
      </c>
      <c r="E43" s="185" t="s">
        <v>38</v>
      </c>
      <c r="F43" s="167">
        <v>1</v>
      </c>
      <c r="G43" s="168">
        <v>1</v>
      </c>
      <c r="H43" s="168">
        <v>1</v>
      </c>
      <c r="I43" s="168"/>
      <c r="J43" s="168" t="s">
        <v>27</v>
      </c>
      <c r="K43" s="168" t="s">
        <v>27</v>
      </c>
      <c r="L43" s="168"/>
      <c r="M43" s="168">
        <v>1</v>
      </c>
      <c r="N43" s="168">
        <v>1</v>
      </c>
      <c r="O43" s="168">
        <v>1</v>
      </c>
      <c r="P43" s="168">
        <v>1</v>
      </c>
      <c r="Q43" s="168" t="s">
        <v>27</v>
      </c>
      <c r="R43" s="168" t="s">
        <v>27</v>
      </c>
      <c r="S43" s="168"/>
      <c r="T43" s="168">
        <v>1</v>
      </c>
      <c r="U43" s="168">
        <v>1</v>
      </c>
      <c r="V43" s="168">
        <v>1</v>
      </c>
      <c r="W43" s="168"/>
      <c r="X43" s="168"/>
      <c r="Y43" s="168"/>
      <c r="Z43" s="168" t="s">
        <v>27</v>
      </c>
      <c r="AA43" s="168">
        <v>1</v>
      </c>
      <c r="AB43" s="168">
        <v>1</v>
      </c>
      <c r="AC43" s="168"/>
      <c r="AD43" s="168">
        <v>1</v>
      </c>
      <c r="AE43" s="168">
        <v>1</v>
      </c>
      <c r="AF43" s="168" t="s">
        <v>27</v>
      </c>
      <c r="AG43" s="168"/>
      <c r="AH43" s="168"/>
      <c r="AI43" s="168">
        <v>1</v>
      </c>
      <c r="AJ43" s="169"/>
      <c r="AK43" s="264">
        <f t="shared" si="9"/>
        <v>21</v>
      </c>
      <c r="AL43" s="265">
        <f t="shared" si="10"/>
        <v>0</v>
      </c>
      <c r="AM43" s="266">
        <f t="shared" si="11"/>
        <v>0</v>
      </c>
      <c r="AN43" s="266"/>
      <c r="AO43" s="266">
        <f t="shared" si="12"/>
        <v>0</v>
      </c>
      <c r="AP43" s="266"/>
      <c r="AQ43" s="266">
        <f t="shared" si="13"/>
        <v>0</v>
      </c>
      <c r="AR43" s="266">
        <f t="shared" si="14"/>
        <v>3</v>
      </c>
      <c r="AS43" s="266"/>
      <c r="AT43" s="266">
        <f t="shared" si="15"/>
        <v>0</v>
      </c>
      <c r="AU43" s="266">
        <f t="shared" si="16"/>
        <v>0</v>
      </c>
      <c r="AV43" s="266">
        <f t="shared" si="17"/>
        <v>0</v>
      </c>
      <c r="AW43" s="207"/>
      <c r="AX43" s="208"/>
      <c r="AY43" s="209">
        <f t="shared" si="29"/>
        <v>24</v>
      </c>
      <c r="AZ43" s="210">
        <f t="shared" si="30"/>
        <v>0</v>
      </c>
      <c r="BA43" s="268">
        <f t="shared" si="20"/>
        <v>24</v>
      </c>
      <c r="BB43" s="211">
        <f t="shared" si="22"/>
        <v>0</v>
      </c>
      <c r="BC43" s="212">
        <f t="shared" si="31"/>
        <v>0</v>
      </c>
      <c r="BD43" s="212">
        <f t="shared" si="24"/>
        <v>0</v>
      </c>
      <c r="BE43" s="212">
        <f t="shared" si="25"/>
        <v>0</v>
      </c>
      <c r="BF43" s="212">
        <f t="shared" si="26"/>
        <v>0</v>
      </c>
      <c r="BG43" s="212">
        <f t="shared" si="27"/>
        <v>0</v>
      </c>
      <c r="BH43" s="234">
        <f t="shared" si="6"/>
        <v>0</v>
      </c>
      <c r="BI43" s="209"/>
      <c r="BJ43" s="209">
        <f t="shared" si="28"/>
        <v>0</v>
      </c>
      <c r="BK43" s="235">
        <f t="shared" si="8"/>
        <v>0</v>
      </c>
      <c r="BL43" s="273">
        <f t="shared" si="21"/>
        <v>24</v>
      </c>
      <c r="BM43" s="201"/>
      <c r="BN43" s="201"/>
      <c r="BO43" s="201"/>
      <c r="BP43" s="201"/>
      <c r="BQ43" s="201"/>
      <c r="BR43" s="201"/>
      <c r="BS43" s="201"/>
      <c r="BT43" s="201"/>
      <c r="BU43" s="201"/>
      <c r="BV43" s="201"/>
      <c r="BW43" s="201"/>
      <c r="BX43" s="201"/>
      <c r="BY43" s="201"/>
      <c r="BZ43" s="201"/>
      <c r="CA43" s="201"/>
      <c r="CB43" s="201"/>
      <c r="CC43" s="201"/>
      <c r="CD43" s="201"/>
      <c r="CE43" s="201"/>
      <c r="CF43" s="201"/>
      <c r="CG43" s="201"/>
      <c r="CH43" s="201"/>
      <c r="CI43" s="201"/>
      <c r="CJ43" s="201"/>
      <c r="CK43" s="201"/>
    </row>
    <row r="44" spans="1:149" s="63" customFormat="1" ht="22.8">
      <c r="A44" s="228">
        <v>27</v>
      </c>
      <c r="B44" s="191" t="s">
        <v>24</v>
      </c>
      <c r="C44" s="164">
        <v>8220</v>
      </c>
      <c r="D44" s="165" t="s">
        <v>52</v>
      </c>
      <c r="E44" s="185" t="s">
        <v>38</v>
      </c>
      <c r="F44" s="167" t="s">
        <v>34</v>
      </c>
      <c r="G44" s="168" t="s">
        <v>34</v>
      </c>
      <c r="H44" s="168" t="s">
        <v>34</v>
      </c>
      <c r="I44" s="168" t="s">
        <v>34</v>
      </c>
      <c r="J44" s="168">
        <v>3</v>
      </c>
      <c r="K44" s="168"/>
      <c r="L44" s="168" t="s">
        <v>34</v>
      </c>
      <c r="M44" s="168" t="s">
        <v>34</v>
      </c>
      <c r="N44" s="168">
        <v>3</v>
      </c>
      <c r="O44" s="168">
        <v>3</v>
      </c>
      <c r="P44" s="168" t="s">
        <v>34</v>
      </c>
      <c r="Q44" s="168" t="s">
        <v>34</v>
      </c>
      <c r="R44" s="168"/>
      <c r="S44" s="168" t="s">
        <v>27</v>
      </c>
      <c r="T44" s="168"/>
      <c r="U44" s="168"/>
      <c r="V44" s="168"/>
      <c r="W44" s="168">
        <v>2</v>
      </c>
      <c r="X44" s="168">
        <v>2</v>
      </c>
      <c r="Y44" s="168" t="s">
        <v>35</v>
      </c>
      <c r="Z44" s="168">
        <v>2</v>
      </c>
      <c r="AA44" s="168" t="s">
        <v>35</v>
      </c>
      <c r="AB44" s="168" t="s">
        <v>35</v>
      </c>
      <c r="AC44" s="168">
        <v>2</v>
      </c>
      <c r="AD44" s="168">
        <v>2</v>
      </c>
      <c r="AE44" s="168">
        <v>2</v>
      </c>
      <c r="AF44" s="168"/>
      <c r="AG44" s="168" t="s">
        <v>32</v>
      </c>
      <c r="AH44" s="168">
        <v>2</v>
      </c>
      <c r="AI44" s="168"/>
      <c r="AJ44" s="169"/>
      <c r="AK44" s="264">
        <f t="shared" si="9"/>
        <v>1</v>
      </c>
      <c r="AL44" s="265">
        <f t="shared" si="10"/>
        <v>0</v>
      </c>
      <c r="AM44" s="266">
        <f t="shared" si="11"/>
        <v>0.5</v>
      </c>
      <c r="AN44" s="266"/>
      <c r="AO44" s="266">
        <f t="shared" si="12"/>
        <v>0</v>
      </c>
      <c r="AP44" s="266"/>
      <c r="AQ44" s="266">
        <f t="shared" si="13"/>
        <v>8</v>
      </c>
      <c r="AR44" s="266">
        <f t="shared" si="14"/>
        <v>0.5</v>
      </c>
      <c r="AS44" s="266"/>
      <c r="AT44" s="266">
        <f t="shared" si="15"/>
        <v>0</v>
      </c>
      <c r="AU44" s="266">
        <f t="shared" si="16"/>
        <v>5.5</v>
      </c>
      <c r="AV44" s="266">
        <f t="shared" si="17"/>
        <v>0</v>
      </c>
      <c r="AW44" s="207"/>
      <c r="AX44" s="208"/>
      <c r="AY44" s="209">
        <f t="shared" si="29"/>
        <v>15.5</v>
      </c>
      <c r="AZ44" s="210">
        <f t="shared" si="30"/>
        <v>11</v>
      </c>
      <c r="BA44" s="268">
        <f t="shared" si="20"/>
        <v>26.5</v>
      </c>
      <c r="BB44" s="211">
        <f t="shared" si="22"/>
        <v>0</v>
      </c>
      <c r="BC44" s="212">
        <f t="shared" si="31"/>
        <v>0</v>
      </c>
      <c r="BD44" s="212">
        <f t="shared" si="24"/>
        <v>0</v>
      </c>
      <c r="BE44" s="212">
        <f t="shared" si="25"/>
        <v>0</v>
      </c>
      <c r="BF44" s="212">
        <f t="shared" si="26"/>
        <v>0</v>
      </c>
      <c r="BG44" s="212">
        <f t="shared" si="27"/>
        <v>0</v>
      </c>
      <c r="BH44" s="234">
        <f t="shared" si="6"/>
        <v>0</v>
      </c>
      <c r="BI44" s="209"/>
      <c r="BJ44" s="209">
        <f t="shared" si="28"/>
        <v>0</v>
      </c>
      <c r="BK44" s="235">
        <f t="shared" si="8"/>
        <v>0</v>
      </c>
      <c r="BL44" s="273">
        <f t="shared" si="21"/>
        <v>26.5</v>
      </c>
      <c r="BM44" s="201"/>
      <c r="BN44" s="201"/>
      <c r="BO44" s="201"/>
      <c r="BP44" s="201"/>
      <c r="BQ44" s="201"/>
      <c r="BR44" s="201"/>
      <c r="BS44" s="201"/>
      <c r="BT44" s="201"/>
      <c r="BU44" s="201"/>
      <c r="BV44" s="201"/>
      <c r="BW44" s="201"/>
      <c r="BX44" s="201"/>
      <c r="BY44" s="201"/>
      <c r="BZ44" s="201"/>
      <c r="CA44" s="201"/>
      <c r="CB44" s="201"/>
      <c r="CC44" s="201"/>
      <c r="CD44" s="201"/>
      <c r="CE44" s="201"/>
      <c r="CF44" s="201"/>
      <c r="CG44" s="201"/>
      <c r="CH44" s="201"/>
      <c r="CI44" s="201"/>
      <c r="CJ44" s="201"/>
      <c r="CK44" s="201"/>
    </row>
    <row r="45" spans="1:149" s="63" customFormat="1" ht="36">
      <c r="A45" s="228">
        <v>28</v>
      </c>
      <c r="B45" s="191" t="s">
        <v>24</v>
      </c>
      <c r="C45" s="164">
        <v>8224</v>
      </c>
      <c r="D45" s="165" t="s">
        <v>51</v>
      </c>
      <c r="E45" s="185" t="s">
        <v>38</v>
      </c>
      <c r="F45" s="167">
        <v>3</v>
      </c>
      <c r="G45" s="168" t="s">
        <v>34</v>
      </c>
      <c r="H45" s="168"/>
      <c r="I45" s="168" t="s">
        <v>193</v>
      </c>
      <c r="J45" s="168"/>
      <c r="K45" s="168" t="s">
        <v>193</v>
      </c>
      <c r="L45" s="168" t="s">
        <v>29</v>
      </c>
      <c r="M45" s="168"/>
      <c r="N45" s="168" t="s">
        <v>193</v>
      </c>
      <c r="O45" s="168" t="s">
        <v>193</v>
      </c>
      <c r="P45" s="168" t="s">
        <v>193</v>
      </c>
      <c r="Q45" s="168" t="s">
        <v>193</v>
      </c>
      <c r="R45" s="168">
        <v>3</v>
      </c>
      <c r="S45" s="168" t="s">
        <v>34</v>
      </c>
      <c r="T45" s="168" t="s">
        <v>34</v>
      </c>
      <c r="U45" s="168" t="s">
        <v>34</v>
      </c>
      <c r="V45" s="168"/>
      <c r="W45" s="168"/>
      <c r="X45" s="168"/>
      <c r="Y45" s="168" t="s">
        <v>193</v>
      </c>
      <c r="Z45" s="168">
        <v>2</v>
      </c>
      <c r="AA45" s="168" t="s">
        <v>193</v>
      </c>
      <c r="AB45" s="168" t="s">
        <v>193</v>
      </c>
      <c r="AC45" s="168" t="s">
        <v>193</v>
      </c>
      <c r="AD45" s="168" t="s">
        <v>193</v>
      </c>
      <c r="AE45" s="168" t="s">
        <v>193</v>
      </c>
      <c r="AF45" s="168">
        <v>2</v>
      </c>
      <c r="AG45" s="168" t="s">
        <v>32</v>
      </c>
      <c r="AH45" s="168" t="s">
        <v>193</v>
      </c>
      <c r="AI45" s="168" t="s">
        <v>193</v>
      </c>
      <c r="AJ45" s="169"/>
      <c r="AK45" s="264">
        <f t="shared" si="9"/>
        <v>0</v>
      </c>
      <c r="AL45" s="265">
        <f t="shared" si="10"/>
        <v>0</v>
      </c>
      <c r="AM45" s="266">
        <f t="shared" si="11"/>
        <v>7.5</v>
      </c>
      <c r="AN45" s="266"/>
      <c r="AO45" s="266">
        <f t="shared" si="12"/>
        <v>0</v>
      </c>
      <c r="AP45" s="266"/>
      <c r="AQ45" s="266">
        <f t="shared" si="13"/>
        <v>3</v>
      </c>
      <c r="AR45" s="266">
        <f t="shared" si="14"/>
        <v>7</v>
      </c>
      <c r="AS45" s="266"/>
      <c r="AT45" s="266">
        <f t="shared" si="15"/>
        <v>0</v>
      </c>
      <c r="AU45" s="266">
        <f t="shared" si="16"/>
        <v>2</v>
      </c>
      <c r="AV45" s="266">
        <f t="shared" si="17"/>
        <v>1</v>
      </c>
      <c r="AW45" s="207"/>
      <c r="AX45" s="208"/>
      <c r="AY45" s="209">
        <f t="shared" si="29"/>
        <v>20.5</v>
      </c>
      <c r="AZ45" s="210">
        <f t="shared" si="30"/>
        <v>6</v>
      </c>
      <c r="BA45" s="268">
        <f t="shared" si="20"/>
        <v>26.5</v>
      </c>
      <c r="BB45" s="211">
        <f t="shared" si="22"/>
        <v>0</v>
      </c>
      <c r="BC45" s="212">
        <f t="shared" si="31"/>
        <v>0</v>
      </c>
      <c r="BD45" s="212">
        <f t="shared" si="24"/>
        <v>0</v>
      </c>
      <c r="BE45" s="212">
        <f t="shared" si="25"/>
        <v>0</v>
      </c>
      <c r="BF45" s="212">
        <f t="shared" si="26"/>
        <v>0</v>
      </c>
      <c r="BG45" s="212">
        <f t="shared" si="27"/>
        <v>0</v>
      </c>
      <c r="BH45" s="234">
        <f t="shared" si="6"/>
        <v>0</v>
      </c>
      <c r="BI45" s="209"/>
      <c r="BJ45" s="209">
        <f t="shared" si="28"/>
        <v>0</v>
      </c>
      <c r="BK45" s="235">
        <f t="shared" si="8"/>
        <v>0</v>
      </c>
      <c r="BL45" s="273">
        <f t="shared" si="21"/>
        <v>26.5</v>
      </c>
      <c r="BM45" s="201"/>
      <c r="BN45" s="201"/>
      <c r="BO45" s="201"/>
      <c r="BP45" s="201"/>
      <c r="BQ45" s="201"/>
      <c r="BR45" s="201"/>
      <c r="BS45" s="201"/>
      <c r="BT45" s="201"/>
      <c r="BU45" s="201"/>
      <c r="BV45" s="201"/>
      <c r="BW45" s="201"/>
      <c r="BX45" s="201"/>
      <c r="BY45" s="201"/>
      <c r="BZ45" s="201"/>
      <c r="CA45" s="201"/>
      <c r="CB45" s="201"/>
      <c r="CC45" s="201"/>
      <c r="CD45" s="201"/>
      <c r="CE45" s="201"/>
      <c r="CF45" s="201"/>
      <c r="CG45" s="201"/>
      <c r="CH45" s="201"/>
      <c r="CI45" s="201"/>
      <c r="CJ45" s="201"/>
      <c r="CK45" s="201"/>
    </row>
    <row r="46" spans="1:149" s="63" customFormat="1" ht="36">
      <c r="A46" s="249">
        <v>29</v>
      </c>
      <c r="B46" s="191" t="s">
        <v>24</v>
      </c>
      <c r="C46" s="164">
        <v>8230</v>
      </c>
      <c r="D46" s="165" t="s">
        <v>45</v>
      </c>
      <c r="E46" s="185" t="s">
        <v>38</v>
      </c>
      <c r="F46" s="167">
        <v>3</v>
      </c>
      <c r="G46" s="168">
        <v>3</v>
      </c>
      <c r="H46" s="168"/>
      <c r="I46" s="168" t="s">
        <v>193</v>
      </c>
      <c r="J46" s="168" t="s">
        <v>27</v>
      </c>
      <c r="K46" s="168" t="s">
        <v>193</v>
      </c>
      <c r="L46" s="168" t="s">
        <v>193</v>
      </c>
      <c r="M46" s="168">
        <v>1</v>
      </c>
      <c r="N46" s="168">
        <v>1</v>
      </c>
      <c r="O46" s="168"/>
      <c r="P46" s="168" t="s">
        <v>27</v>
      </c>
      <c r="Q46" s="168">
        <v>1</v>
      </c>
      <c r="R46" s="168"/>
      <c r="S46" s="168" t="s">
        <v>27</v>
      </c>
      <c r="T46" s="168">
        <v>1</v>
      </c>
      <c r="U46" s="168">
        <v>1</v>
      </c>
      <c r="V46" s="168"/>
      <c r="W46" s="168"/>
      <c r="X46" s="168"/>
      <c r="Y46" s="168"/>
      <c r="Z46" s="168">
        <v>1</v>
      </c>
      <c r="AA46" s="168" t="s">
        <v>27</v>
      </c>
      <c r="AB46" s="168">
        <v>1</v>
      </c>
      <c r="AC46" s="168"/>
      <c r="AD46" s="168"/>
      <c r="AE46" s="168"/>
      <c r="AF46" s="168">
        <v>1</v>
      </c>
      <c r="AG46" s="168" t="s">
        <v>33</v>
      </c>
      <c r="AH46" s="168">
        <v>1</v>
      </c>
      <c r="AI46" s="168">
        <v>1</v>
      </c>
      <c r="AJ46" s="169"/>
      <c r="AK46" s="264">
        <f t="shared" si="9"/>
        <v>14</v>
      </c>
      <c r="AL46" s="265">
        <f t="shared" si="10"/>
        <v>0</v>
      </c>
      <c r="AM46" s="266">
        <f t="shared" si="11"/>
        <v>1.5</v>
      </c>
      <c r="AN46" s="266"/>
      <c r="AO46" s="266">
        <f t="shared" si="12"/>
        <v>0</v>
      </c>
      <c r="AP46" s="266"/>
      <c r="AQ46" s="266">
        <f t="shared" si="13"/>
        <v>0</v>
      </c>
      <c r="AR46" s="266">
        <f t="shared" si="14"/>
        <v>4</v>
      </c>
      <c r="AS46" s="266"/>
      <c r="AT46" s="266">
        <f t="shared" si="15"/>
        <v>0</v>
      </c>
      <c r="AU46" s="266">
        <f t="shared" si="16"/>
        <v>0</v>
      </c>
      <c r="AV46" s="266">
        <f t="shared" si="17"/>
        <v>0</v>
      </c>
      <c r="AW46" s="207"/>
      <c r="AX46" s="208"/>
      <c r="AY46" s="209">
        <f t="shared" si="29"/>
        <v>19.5</v>
      </c>
      <c r="AZ46" s="210">
        <f t="shared" si="30"/>
        <v>2</v>
      </c>
      <c r="BA46" s="268">
        <f t="shared" si="20"/>
        <v>21.5</v>
      </c>
      <c r="BB46" s="211">
        <f t="shared" si="22"/>
        <v>0</v>
      </c>
      <c r="BC46" s="212">
        <f t="shared" si="31"/>
        <v>0</v>
      </c>
      <c r="BD46" s="212">
        <f t="shared" si="24"/>
        <v>0</v>
      </c>
      <c r="BE46" s="212">
        <f t="shared" si="25"/>
        <v>0</v>
      </c>
      <c r="BF46" s="212">
        <f t="shared" si="26"/>
        <v>0</v>
      </c>
      <c r="BG46" s="212">
        <f t="shared" si="27"/>
        <v>0</v>
      </c>
      <c r="BH46" s="234">
        <f t="shared" si="6"/>
        <v>0</v>
      </c>
      <c r="BI46" s="209"/>
      <c r="BJ46" s="209">
        <f t="shared" si="28"/>
        <v>0</v>
      </c>
      <c r="BK46" s="235">
        <f t="shared" si="8"/>
        <v>0</v>
      </c>
      <c r="BL46" s="273">
        <f t="shared" si="21"/>
        <v>21.5</v>
      </c>
      <c r="BM46" s="201"/>
      <c r="BN46" s="201"/>
      <c r="BO46" s="201"/>
      <c r="BP46" s="201"/>
      <c r="BQ46" s="201"/>
      <c r="BR46" s="201"/>
      <c r="BS46" s="201"/>
      <c r="BT46" s="201"/>
      <c r="BU46" s="201"/>
      <c r="BV46" s="201"/>
      <c r="BW46" s="201"/>
      <c r="BX46" s="201"/>
      <c r="BY46" s="201"/>
      <c r="BZ46" s="201"/>
      <c r="CA46" s="201"/>
      <c r="CB46" s="201"/>
      <c r="CC46" s="201"/>
      <c r="CD46" s="201"/>
      <c r="CE46" s="201"/>
      <c r="CF46" s="201"/>
      <c r="CG46" s="201"/>
      <c r="CH46" s="201"/>
      <c r="CI46" s="201"/>
      <c r="CJ46" s="201"/>
      <c r="CK46" s="201"/>
    </row>
    <row r="47" spans="1:149" s="63" customFormat="1" ht="22.8">
      <c r="A47" s="228">
        <v>30</v>
      </c>
      <c r="B47" s="191" t="s">
        <v>24</v>
      </c>
      <c r="C47" s="164">
        <v>8235</v>
      </c>
      <c r="D47" s="165" t="s">
        <v>44</v>
      </c>
      <c r="E47" s="185" t="s">
        <v>38</v>
      </c>
      <c r="F47" s="167">
        <v>3</v>
      </c>
      <c r="G47" s="168">
        <v>3</v>
      </c>
      <c r="H47" s="168">
        <v>3</v>
      </c>
      <c r="I47" s="168">
        <v>3</v>
      </c>
      <c r="J47" s="168">
        <v>3</v>
      </c>
      <c r="K47" s="168">
        <v>3</v>
      </c>
      <c r="L47" s="168">
        <v>3</v>
      </c>
      <c r="M47" s="168">
        <v>3</v>
      </c>
      <c r="N47" s="168">
        <v>3</v>
      </c>
      <c r="O47" s="168">
        <v>3</v>
      </c>
      <c r="P47" s="168">
        <v>3</v>
      </c>
      <c r="Q47" s="168">
        <v>3</v>
      </c>
      <c r="R47" s="168">
        <v>3</v>
      </c>
      <c r="S47" s="168">
        <v>3</v>
      </c>
      <c r="T47" s="168">
        <v>3</v>
      </c>
      <c r="U47" s="168">
        <v>3</v>
      </c>
      <c r="V47" s="168">
        <v>3</v>
      </c>
      <c r="W47" s="168">
        <v>3</v>
      </c>
      <c r="X47" s="168">
        <v>3</v>
      </c>
      <c r="Y47" s="168">
        <v>3</v>
      </c>
      <c r="Z47" s="168" t="s">
        <v>34</v>
      </c>
      <c r="AA47" s="168">
        <v>3</v>
      </c>
      <c r="AB47" s="168">
        <v>3</v>
      </c>
      <c r="AC47" s="168">
        <v>3</v>
      </c>
      <c r="AD47" s="168"/>
      <c r="AE47" s="168">
        <v>3</v>
      </c>
      <c r="AF47" s="168">
        <v>3</v>
      </c>
      <c r="AG47" s="168">
        <v>3</v>
      </c>
      <c r="AH47" s="168">
        <v>3</v>
      </c>
      <c r="AI47" s="168">
        <v>3</v>
      </c>
      <c r="AJ47" s="169"/>
      <c r="AK47" s="264">
        <f t="shared" si="9"/>
        <v>0</v>
      </c>
      <c r="AL47" s="265">
        <f t="shared" si="10"/>
        <v>0</v>
      </c>
      <c r="AM47" s="266">
        <f t="shared" si="11"/>
        <v>0</v>
      </c>
      <c r="AN47" s="266"/>
      <c r="AO47" s="266">
        <f t="shared" si="12"/>
        <v>0</v>
      </c>
      <c r="AP47" s="266"/>
      <c r="AQ47" s="266">
        <f t="shared" si="13"/>
        <v>0</v>
      </c>
      <c r="AR47" s="266">
        <f t="shared" si="14"/>
        <v>0</v>
      </c>
      <c r="AS47" s="266"/>
      <c r="AT47" s="266">
        <f t="shared" si="15"/>
        <v>0</v>
      </c>
      <c r="AU47" s="266">
        <f t="shared" si="16"/>
        <v>0.5</v>
      </c>
      <c r="AV47" s="266">
        <f t="shared" si="17"/>
        <v>0</v>
      </c>
      <c r="AW47" s="207"/>
      <c r="AX47" s="208"/>
      <c r="AY47" s="209">
        <f t="shared" si="29"/>
        <v>0.5</v>
      </c>
      <c r="AZ47" s="210">
        <f t="shared" si="30"/>
        <v>29</v>
      </c>
      <c r="BA47" s="268">
        <f t="shared" si="20"/>
        <v>29.5</v>
      </c>
      <c r="BB47" s="211">
        <f t="shared" si="22"/>
        <v>0</v>
      </c>
      <c r="BC47" s="212">
        <f t="shared" si="31"/>
        <v>0</v>
      </c>
      <c r="BD47" s="212">
        <f t="shared" si="24"/>
        <v>0</v>
      </c>
      <c r="BE47" s="212">
        <f t="shared" si="25"/>
        <v>0</v>
      </c>
      <c r="BF47" s="212">
        <f t="shared" si="26"/>
        <v>0</v>
      </c>
      <c r="BG47" s="212">
        <f t="shared" si="27"/>
        <v>0</v>
      </c>
      <c r="BH47" s="234">
        <f t="shared" si="6"/>
        <v>0</v>
      </c>
      <c r="BI47" s="209"/>
      <c r="BJ47" s="209">
        <f t="shared" si="28"/>
        <v>0</v>
      </c>
      <c r="BK47" s="235">
        <f t="shared" si="8"/>
        <v>0</v>
      </c>
      <c r="BL47" s="273">
        <f t="shared" si="21"/>
        <v>29.5</v>
      </c>
      <c r="BM47" s="201"/>
      <c r="BN47" s="201"/>
      <c r="BO47" s="201"/>
      <c r="BP47" s="201"/>
      <c r="BQ47" s="201"/>
      <c r="BR47" s="201"/>
      <c r="BS47" s="201"/>
      <c r="BT47" s="201"/>
      <c r="BU47" s="201"/>
      <c r="BV47" s="201"/>
      <c r="BW47" s="201"/>
      <c r="BX47" s="201"/>
      <c r="BY47" s="201"/>
      <c r="BZ47" s="201"/>
      <c r="CA47" s="201"/>
      <c r="CB47" s="201"/>
      <c r="CC47" s="201"/>
      <c r="CD47" s="201"/>
      <c r="CE47" s="201"/>
      <c r="CF47" s="201"/>
      <c r="CG47" s="201"/>
      <c r="CH47" s="201"/>
      <c r="CI47" s="201"/>
      <c r="CJ47" s="201"/>
      <c r="CK47" s="201"/>
    </row>
    <row r="48" spans="1:149" s="63" customFormat="1" ht="36">
      <c r="A48" s="228">
        <v>31</v>
      </c>
      <c r="B48" s="191" t="s">
        <v>24</v>
      </c>
      <c r="C48" s="164">
        <v>8236</v>
      </c>
      <c r="D48" s="165" t="s">
        <v>60</v>
      </c>
      <c r="E48" s="185" t="s">
        <v>38</v>
      </c>
      <c r="F48" s="167" t="s">
        <v>29</v>
      </c>
      <c r="G48" s="168" t="s">
        <v>29</v>
      </c>
      <c r="H48" s="168" t="s">
        <v>29</v>
      </c>
      <c r="I48" s="168" t="s">
        <v>29</v>
      </c>
      <c r="J48" s="168" t="s">
        <v>29</v>
      </c>
      <c r="K48" s="168" t="s">
        <v>29</v>
      </c>
      <c r="L48" s="168"/>
      <c r="M48" s="168" t="s">
        <v>29</v>
      </c>
      <c r="N48" s="168" t="s">
        <v>29</v>
      </c>
      <c r="O48" s="168" t="s">
        <v>29</v>
      </c>
      <c r="P48" s="168" t="s">
        <v>258</v>
      </c>
      <c r="Q48" s="168" t="s">
        <v>29</v>
      </c>
      <c r="R48" s="168" t="s">
        <v>29</v>
      </c>
      <c r="S48" s="168"/>
      <c r="T48" s="168" t="s">
        <v>250</v>
      </c>
      <c r="U48" s="168" t="s">
        <v>250</v>
      </c>
      <c r="V48" s="168" t="s">
        <v>250</v>
      </c>
      <c r="W48" s="168" t="s">
        <v>258</v>
      </c>
      <c r="X48" s="168" t="s">
        <v>29</v>
      </c>
      <c r="Y48" s="168" t="s">
        <v>250</v>
      </c>
      <c r="Z48" s="168"/>
      <c r="AA48" s="168" t="s">
        <v>29</v>
      </c>
      <c r="AB48" s="168" t="s">
        <v>29</v>
      </c>
      <c r="AC48" s="168" t="s">
        <v>29</v>
      </c>
      <c r="AD48" s="168" t="s">
        <v>29</v>
      </c>
      <c r="AE48" s="168" t="s">
        <v>29</v>
      </c>
      <c r="AF48" s="168" t="s">
        <v>29</v>
      </c>
      <c r="AG48" s="168"/>
      <c r="AH48" s="168" t="s">
        <v>29</v>
      </c>
      <c r="AI48" s="168" t="s">
        <v>29</v>
      </c>
      <c r="AJ48" s="169"/>
      <c r="AK48" s="264">
        <f t="shared" si="9"/>
        <v>0</v>
      </c>
      <c r="AL48" s="265">
        <f t="shared" si="10"/>
        <v>0</v>
      </c>
      <c r="AM48" s="266">
        <f t="shared" si="11"/>
        <v>0</v>
      </c>
      <c r="AN48" s="266"/>
      <c r="AO48" s="266">
        <f t="shared" si="12"/>
        <v>0.5</v>
      </c>
      <c r="AP48" s="266"/>
      <c r="AQ48" s="266">
        <f t="shared" si="13"/>
        <v>0</v>
      </c>
      <c r="AR48" s="266">
        <f t="shared" si="14"/>
        <v>0</v>
      </c>
      <c r="AS48" s="266"/>
      <c r="AT48" s="266">
        <f t="shared" si="15"/>
        <v>1.5</v>
      </c>
      <c r="AU48" s="266">
        <f t="shared" si="16"/>
        <v>0</v>
      </c>
      <c r="AV48" s="266">
        <f t="shared" si="17"/>
        <v>26</v>
      </c>
      <c r="AW48" s="207"/>
      <c r="AX48" s="207"/>
      <c r="AY48" s="209">
        <f t="shared" si="29"/>
        <v>28</v>
      </c>
      <c r="AZ48" s="210">
        <f t="shared" si="30"/>
        <v>0</v>
      </c>
      <c r="BA48" s="268">
        <f t="shared" si="20"/>
        <v>28</v>
      </c>
      <c r="BB48" s="211">
        <f t="shared" si="22"/>
        <v>0</v>
      </c>
      <c r="BC48" s="212">
        <f t="shared" si="31"/>
        <v>0</v>
      </c>
      <c r="BD48" s="212">
        <f t="shared" si="24"/>
        <v>0</v>
      </c>
      <c r="BE48" s="212">
        <f t="shared" si="25"/>
        <v>0</v>
      </c>
      <c r="BF48" s="212">
        <f t="shared" si="26"/>
        <v>0</v>
      </c>
      <c r="BG48" s="212">
        <f t="shared" si="27"/>
        <v>0</v>
      </c>
      <c r="BH48" s="234">
        <f t="shared" si="6"/>
        <v>0</v>
      </c>
      <c r="BI48" s="209"/>
      <c r="BJ48" s="209">
        <f t="shared" si="28"/>
        <v>0</v>
      </c>
      <c r="BK48" s="235">
        <f t="shared" si="8"/>
        <v>0</v>
      </c>
      <c r="BL48" s="273">
        <f t="shared" si="21"/>
        <v>28</v>
      </c>
      <c r="BM48" s="201"/>
      <c r="BN48" s="201"/>
      <c r="BO48" s="201"/>
      <c r="BP48" s="201"/>
      <c r="BQ48" s="201"/>
      <c r="BR48" s="201"/>
      <c r="BS48" s="201"/>
      <c r="BT48" s="201"/>
      <c r="BU48" s="201"/>
      <c r="BV48" s="201"/>
      <c r="BW48" s="201"/>
      <c r="BX48" s="201"/>
      <c r="BY48" s="201"/>
      <c r="BZ48" s="201"/>
      <c r="CA48" s="201"/>
      <c r="CB48" s="201"/>
      <c r="CC48" s="201"/>
      <c r="CD48" s="201"/>
      <c r="CE48" s="201"/>
      <c r="CF48" s="201"/>
      <c r="CG48" s="201"/>
      <c r="CH48" s="201"/>
      <c r="CI48" s="201"/>
      <c r="CJ48" s="201"/>
      <c r="CK48" s="201"/>
    </row>
    <row r="49" spans="1:89" s="63" customFormat="1" ht="22.8">
      <c r="A49" s="249">
        <v>32</v>
      </c>
      <c r="B49" s="191" t="s">
        <v>24</v>
      </c>
      <c r="C49" s="164">
        <v>8237</v>
      </c>
      <c r="D49" s="165" t="s">
        <v>57</v>
      </c>
      <c r="E49" s="185" t="s">
        <v>38</v>
      </c>
      <c r="F49" s="167" t="s">
        <v>27</v>
      </c>
      <c r="G49" s="168" t="s">
        <v>29</v>
      </c>
      <c r="H49" s="168" t="s">
        <v>27</v>
      </c>
      <c r="I49" s="168" t="s">
        <v>29</v>
      </c>
      <c r="J49" s="168" t="s">
        <v>27</v>
      </c>
      <c r="K49" s="168" t="s">
        <v>29</v>
      </c>
      <c r="L49" s="168"/>
      <c r="M49" s="168" t="s">
        <v>27</v>
      </c>
      <c r="N49" s="168" t="s">
        <v>29</v>
      </c>
      <c r="O49" s="168" t="s">
        <v>27</v>
      </c>
      <c r="P49" s="168" t="s">
        <v>29</v>
      </c>
      <c r="Q49" s="168" t="s">
        <v>27</v>
      </c>
      <c r="R49" s="168" t="s">
        <v>26</v>
      </c>
      <c r="S49" s="168"/>
      <c r="T49" s="168" t="s">
        <v>27</v>
      </c>
      <c r="U49" s="168" t="s">
        <v>29</v>
      </c>
      <c r="V49" s="168" t="s">
        <v>27</v>
      </c>
      <c r="W49" s="168" t="s">
        <v>29</v>
      </c>
      <c r="X49" s="168" t="s">
        <v>27</v>
      </c>
      <c r="Y49" s="168" t="s">
        <v>26</v>
      </c>
      <c r="Z49" s="168"/>
      <c r="AA49" s="168" t="s">
        <v>27</v>
      </c>
      <c r="AB49" s="168" t="s">
        <v>29</v>
      </c>
      <c r="AC49" s="168" t="s">
        <v>27</v>
      </c>
      <c r="AD49" s="168" t="s">
        <v>29</v>
      </c>
      <c r="AE49" s="168" t="s">
        <v>27</v>
      </c>
      <c r="AF49" s="168" t="s">
        <v>26</v>
      </c>
      <c r="AG49" s="168"/>
      <c r="AH49" s="168" t="s">
        <v>27</v>
      </c>
      <c r="AI49" s="168" t="s">
        <v>29</v>
      </c>
      <c r="AJ49" s="169"/>
      <c r="AK49" s="264">
        <f t="shared" si="9"/>
        <v>13</v>
      </c>
      <c r="AL49" s="265">
        <f t="shared" si="10"/>
        <v>0</v>
      </c>
      <c r="AM49" s="266">
        <f t="shared" si="11"/>
        <v>1.5</v>
      </c>
      <c r="AN49" s="266"/>
      <c r="AO49" s="266">
        <f t="shared" si="12"/>
        <v>0</v>
      </c>
      <c r="AP49" s="266"/>
      <c r="AQ49" s="266">
        <f t="shared" si="13"/>
        <v>0</v>
      </c>
      <c r="AR49" s="266">
        <f t="shared" si="14"/>
        <v>6.5</v>
      </c>
      <c r="AS49" s="266"/>
      <c r="AT49" s="266">
        <f t="shared" si="15"/>
        <v>0</v>
      </c>
      <c r="AU49" s="266">
        <f t="shared" si="16"/>
        <v>0</v>
      </c>
      <c r="AV49" s="266">
        <f t="shared" si="17"/>
        <v>10</v>
      </c>
      <c r="AW49" s="207"/>
      <c r="AX49" s="207"/>
      <c r="AY49" s="209">
        <f t="shared" si="29"/>
        <v>31</v>
      </c>
      <c r="AZ49" s="210">
        <f t="shared" si="30"/>
        <v>0</v>
      </c>
      <c r="BA49" s="268">
        <f t="shared" si="20"/>
        <v>31</v>
      </c>
      <c r="BB49" s="211">
        <f t="shared" si="22"/>
        <v>0</v>
      </c>
      <c r="BC49" s="212">
        <f t="shared" si="31"/>
        <v>0</v>
      </c>
      <c r="BD49" s="212">
        <f t="shared" si="24"/>
        <v>0</v>
      </c>
      <c r="BE49" s="212">
        <f t="shared" si="25"/>
        <v>0</v>
      </c>
      <c r="BF49" s="212">
        <f t="shared" si="26"/>
        <v>0</v>
      </c>
      <c r="BG49" s="212">
        <f t="shared" si="27"/>
        <v>0</v>
      </c>
      <c r="BH49" s="234">
        <f t="shared" si="6"/>
        <v>0</v>
      </c>
      <c r="BI49" s="209"/>
      <c r="BJ49" s="209">
        <f t="shared" si="28"/>
        <v>0</v>
      </c>
      <c r="BK49" s="235">
        <f t="shared" si="8"/>
        <v>0</v>
      </c>
      <c r="BL49" s="273">
        <f t="shared" si="21"/>
        <v>31</v>
      </c>
      <c r="BM49" s="201"/>
      <c r="BN49" s="201"/>
      <c r="BO49" s="201"/>
      <c r="BP49" s="201"/>
      <c r="BQ49" s="201"/>
      <c r="BR49" s="201"/>
      <c r="BS49" s="201"/>
      <c r="BT49" s="201"/>
      <c r="BU49" s="201"/>
      <c r="BV49" s="201"/>
      <c r="BW49" s="201"/>
      <c r="BX49" s="201"/>
      <c r="BY49" s="201"/>
      <c r="BZ49" s="201"/>
      <c r="CA49" s="201"/>
      <c r="CB49" s="201"/>
      <c r="CC49" s="201"/>
      <c r="CD49" s="201"/>
      <c r="CE49" s="201"/>
      <c r="CF49" s="201"/>
      <c r="CG49" s="201"/>
      <c r="CH49" s="201"/>
      <c r="CI49" s="201"/>
      <c r="CJ49" s="201"/>
      <c r="CK49" s="201"/>
    </row>
    <row r="50" spans="1:89" s="63" customFormat="1" ht="22.8">
      <c r="A50" s="228">
        <v>33</v>
      </c>
      <c r="B50" s="191" t="s">
        <v>24</v>
      </c>
      <c r="C50" s="164">
        <v>8238</v>
      </c>
      <c r="D50" s="165" t="s">
        <v>58</v>
      </c>
      <c r="E50" s="185" t="s">
        <v>38</v>
      </c>
      <c r="F50" s="167" t="s">
        <v>27</v>
      </c>
      <c r="G50" s="168" t="s">
        <v>27</v>
      </c>
      <c r="H50" s="168" t="s">
        <v>27</v>
      </c>
      <c r="I50" s="168" t="s">
        <v>27</v>
      </c>
      <c r="J50" s="168" t="s">
        <v>32</v>
      </c>
      <c r="K50" s="168"/>
      <c r="L50" s="168"/>
      <c r="M50" s="168" t="s">
        <v>27</v>
      </c>
      <c r="N50" s="168" t="s">
        <v>27</v>
      </c>
      <c r="O50" s="168" t="s">
        <v>27</v>
      </c>
      <c r="P50" s="168" t="s">
        <v>27</v>
      </c>
      <c r="Q50" s="168" t="s">
        <v>27</v>
      </c>
      <c r="R50" s="168"/>
      <c r="S50" s="168"/>
      <c r="T50" s="168">
        <v>2</v>
      </c>
      <c r="U50" s="168" t="s">
        <v>32</v>
      </c>
      <c r="V50" s="168">
        <v>2</v>
      </c>
      <c r="W50" s="168" t="s">
        <v>32</v>
      </c>
      <c r="X50" s="168" t="s">
        <v>32</v>
      </c>
      <c r="Y50" s="168"/>
      <c r="Z50" s="168"/>
      <c r="AA50" s="168" t="s">
        <v>27</v>
      </c>
      <c r="AB50" s="168" t="s">
        <v>27</v>
      </c>
      <c r="AC50" s="168" t="s">
        <v>27</v>
      </c>
      <c r="AD50" s="168" t="s">
        <v>27</v>
      </c>
      <c r="AE50" s="168" t="s">
        <v>32</v>
      </c>
      <c r="AF50" s="168"/>
      <c r="AG50" s="168"/>
      <c r="AH50" s="168" t="s">
        <v>29</v>
      </c>
      <c r="AI50" s="168" t="s">
        <v>29</v>
      </c>
      <c r="AJ50" s="169"/>
      <c r="AK50" s="264">
        <f t="shared" si="9"/>
        <v>13</v>
      </c>
      <c r="AL50" s="265">
        <f t="shared" si="10"/>
        <v>0</v>
      </c>
      <c r="AM50" s="266">
        <f t="shared" si="11"/>
        <v>2.5</v>
      </c>
      <c r="AN50" s="266"/>
      <c r="AO50" s="266">
        <f t="shared" si="12"/>
        <v>0</v>
      </c>
      <c r="AP50" s="266"/>
      <c r="AQ50" s="266">
        <f t="shared" si="13"/>
        <v>7</v>
      </c>
      <c r="AR50" s="266">
        <f t="shared" si="14"/>
        <v>6.5</v>
      </c>
      <c r="AS50" s="266"/>
      <c r="AT50" s="266">
        <f t="shared" si="15"/>
        <v>0</v>
      </c>
      <c r="AU50" s="266">
        <f t="shared" si="16"/>
        <v>0</v>
      </c>
      <c r="AV50" s="266">
        <f t="shared" si="17"/>
        <v>2</v>
      </c>
      <c r="AW50" s="207"/>
      <c r="AX50" s="207"/>
      <c r="AY50" s="209">
        <f t="shared" si="29"/>
        <v>31</v>
      </c>
      <c r="AZ50" s="210">
        <f t="shared" si="30"/>
        <v>0</v>
      </c>
      <c r="BA50" s="268">
        <f t="shared" si="20"/>
        <v>31</v>
      </c>
      <c r="BB50" s="211">
        <f t="shared" si="22"/>
        <v>0</v>
      </c>
      <c r="BC50" s="212">
        <f t="shared" si="31"/>
        <v>0</v>
      </c>
      <c r="BD50" s="212">
        <f t="shared" si="24"/>
        <v>0</v>
      </c>
      <c r="BE50" s="212">
        <f t="shared" si="25"/>
        <v>0</v>
      </c>
      <c r="BF50" s="212">
        <f t="shared" si="26"/>
        <v>0</v>
      </c>
      <c r="BG50" s="212">
        <f t="shared" si="27"/>
        <v>0</v>
      </c>
      <c r="BH50" s="234">
        <f t="shared" si="6"/>
        <v>0</v>
      </c>
      <c r="BI50" s="209"/>
      <c r="BJ50" s="209">
        <f t="shared" si="28"/>
        <v>0</v>
      </c>
      <c r="BK50" s="235">
        <f t="shared" si="8"/>
        <v>0</v>
      </c>
      <c r="BL50" s="273">
        <f t="shared" si="21"/>
        <v>31</v>
      </c>
      <c r="BM50" s="201"/>
      <c r="BN50" s="201"/>
      <c r="BO50" s="201"/>
      <c r="BP50" s="201"/>
      <c r="BQ50" s="201"/>
      <c r="BR50" s="201"/>
      <c r="BS50" s="201"/>
      <c r="BT50" s="201"/>
      <c r="BU50" s="201"/>
      <c r="BV50" s="201"/>
      <c r="BW50" s="201"/>
      <c r="BX50" s="201"/>
      <c r="BY50" s="201"/>
      <c r="BZ50" s="201"/>
      <c r="CA50" s="201"/>
      <c r="CB50" s="201"/>
      <c r="CC50" s="201"/>
      <c r="CD50" s="201"/>
      <c r="CE50" s="201"/>
      <c r="CF50" s="201"/>
      <c r="CG50" s="201"/>
      <c r="CH50" s="201"/>
      <c r="CI50" s="201"/>
      <c r="CJ50" s="201"/>
      <c r="CK50" s="201"/>
    </row>
    <row r="51" spans="1:89" s="63" customFormat="1" ht="22.8">
      <c r="A51" s="228">
        <v>34</v>
      </c>
      <c r="B51" s="191" t="s">
        <v>24</v>
      </c>
      <c r="C51" s="164">
        <v>8241</v>
      </c>
      <c r="D51" s="165" t="s">
        <v>566</v>
      </c>
      <c r="E51" s="185" t="s">
        <v>38</v>
      </c>
      <c r="F51" s="167" t="s">
        <v>259</v>
      </c>
      <c r="G51" s="168" t="s">
        <v>259</v>
      </c>
      <c r="H51" s="168" t="s">
        <v>259</v>
      </c>
      <c r="I51" s="168" t="s">
        <v>259</v>
      </c>
      <c r="J51" s="168" t="s">
        <v>259</v>
      </c>
      <c r="K51" s="168" t="s">
        <v>259</v>
      </c>
      <c r="L51" s="168"/>
      <c r="M51" s="168" t="s">
        <v>259</v>
      </c>
      <c r="N51" s="168" t="s">
        <v>259</v>
      </c>
      <c r="O51" s="168" t="s">
        <v>259</v>
      </c>
      <c r="P51" s="168" t="s">
        <v>259</v>
      </c>
      <c r="Q51" s="168" t="s">
        <v>259</v>
      </c>
      <c r="R51" s="168" t="s">
        <v>259</v>
      </c>
      <c r="S51" s="168" t="s">
        <v>259</v>
      </c>
      <c r="T51" s="168" t="s">
        <v>259</v>
      </c>
      <c r="U51" s="168" t="s">
        <v>259</v>
      </c>
      <c r="V51" s="168" t="s">
        <v>259</v>
      </c>
      <c r="W51" s="168" t="s">
        <v>259</v>
      </c>
      <c r="X51" s="168" t="s">
        <v>259</v>
      </c>
      <c r="Y51" s="168" t="s">
        <v>259</v>
      </c>
      <c r="Z51" s="168" t="s">
        <v>259</v>
      </c>
      <c r="AA51" s="168" t="s">
        <v>259</v>
      </c>
      <c r="AB51" s="168" t="s">
        <v>259</v>
      </c>
      <c r="AC51" s="168" t="s">
        <v>259</v>
      </c>
      <c r="AD51" s="168" t="s">
        <v>259</v>
      </c>
      <c r="AE51" s="168" t="s">
        <v>259</v>
      </c>
      <c r="AF51" s="168" t="s">
        <v>259</v>
      </c>
      <c r="AG51" s="168" t="s">
        <v>259</v>
      </c>
      <c r="AH51" s="168" t="s">
        <v>259</v>
      </c>
      <c r="AI51" s="168" t="s">
        <v>259</v>
      </c>
      <c r="AJ51" s="169"/>
      <c r="AK51" s="264">
        <f t="shared" si="9"/>
        <v>0</v>
      </c>
      <c r="AL51" s="265">
        <f t="shared" si="10"/>
        <v>0</v>
      </c>
      <c r="AM51" s="266">
        <f t="shared" si="11"/>
        <v>0</v>
      </c>
      <c r="AN51" s="266"/>
      <c r="AO51" s="266">
        <f t="shared" si="12"/>
        <v>0</v>
      </c>
      <c r="AP51" s="266"/>
      <c r="AQ51" s="266">
        <f t="shared" si="13"/>
        <v>0</v>
      </c>
      <c r="AR51" s="266">
        <f t="shared" si="14"/>
        <v>0</v>
      </c>
      <c r="AS51" s="266"/>
      <c r="AT51" s="266">
        <f t="shared" si="15"/>
        <v>0</v>
      </c>
      <c r="AU51" s="266">
        <f t="shared" si="16"/>
        <v>0</v>
      </c>
      <c r="AV51" s="266">
        <f t="shared" si="17"/>
        <v>0</v>
      </c>
      <c r="AW51" s="207"/>
      <c r="AX51" s="207"/>
      <c r="AY51" s="209">
        <f t="shared" si="29"/>
        <v>0</v>
      </c>
      <c r="AZ51" s="210">
        <f t="shared" si="30"/>
        <v>0</v>
      </c>
      <c r="BA51" s="268">
        <f t="shared" si="20"/>
        <v>0</v>
      </c>
      <c r="BB51" s="211">
        <f t="shared" si="22"/>
        <v>0</v>
      </c>
      <c r="BC51" s="212">
        <f t="shared" si="31"/>
        <v>0</v>
      </c>
      <c r="BD51" s="212">
        <f t="shared" si="24"/>
        <v>0</v>
      </c>
      <c r="BE51" s="212">
        <f t="shared" si="25"/>
        <v>0</v>
      </c>
      <c r="BF51" s="212">
        <f t="shared" si="26"/>
        <v>0</v>
      </c>
      <c r="BG51" s="212">
        <f t="shared" si="27"/>
        <v>0</v>
      </c>
      <c r="BH51" s="234">
        <f t="shared" si="6"/>
        <v>0</v>
      </c>
      <c r="BI51" s="209"/>
      <c r="BJ51" s="209">
        <f t="shared" si="28"/>
        <v>0</v>
      </c>
      <c r="BK51" s="235">
        <f t="shared" si="8"/>
        <v>0</v>
      </c>
      <c r="BL51" s="273">
        <f t="shared" si="21"/>
        <v>0</v>
      </c>
      <c r="BM51" s="201"/>
      <c r="BN51" s="201"/>
      <c r="BO51" s="201"/>
      <c r="BP51" s="201"/>
      <c r="BQ51" s="201"/>
      <c r="BR51" s="201"/>
      <c r="BS51" s="201"/>
      <c r="BT51" s="201"/>
      <c r="BU51" s="201"/>
      <c r="BV51" s="201"/>
      <c r="BW51" s="201"/>
      <c r="BX51" s="201"/>
      <c r="BY51" s="201"/>
      <c r="BZ51" s="201"/>
      <c r="CA51" s="201"/>
      <c r="CB51" s="201"/>
      <c r="CC51" s="201"/>
      <c r="CD51" s="201"/>
      <c r="CE51" s="201"/>
      <c r="CF51" s="201"/>
      <c r="CG51" s="201"/>
      <c r="CH51" s="201"/>
      <c r="CI51" s="201"/>
      <c r="CJ51" s="201"/>
      <c r="CK51" s="201"/>
    </row>
    <row r="52" spans="1:89" s="63" customFormat="1" ht="22.8">
      <c r="A52" s="249">
        <v>35</v>
      </c>
      <c r="B52" s="191" t="s">
        <v>24</v>
      </c>
      <c r="C52" s="164">
        <v>8242</v>
      </c>
      <c r="D52" s="165" t="s">
        <v>46</v>
      </c>
      <c r="E52" s="185" t="s">
        <v>38</v>
      </c>
      <c r="F52" s="167"/>
      <c r="G52" s="168" t="s">
        <v>27</v>
      </c>
      <c r="H52" s="168"/>
      <c r="I52" s="168">
        <v>1</v>
      </c>
      <c r="J52" s="168" t="s">
        <v>27</v>
      </c>
      <c r="K52" s="168" t="s">
        <v>27</v>
      </c>
      <c r="L52" s="168"/>
      <c r="M52" s="168">
        <v>1</v>
      </c>
      <c r="N52" s="168" t="s">
        <v>27</v>
      </c>
      <c r="O52" s="168">
        <v>1</v>
      </c>
      <c r="P52" s="168" t="s">
        <v>27</v>
      </c>
      <c r="Q52" s="168" t="s">
        <v>27</v>
      </c>
      <c r="R52" s="168" t="s">
        <v>27</v>
      </c>
      <c r="S52" s="168" t="s">
        <v>29</v>
      </c>
      <c r="T52" s="168" t="s">
        <v>27</v>
      </c>
      <c r="U52" s="168">
        <v>1</v>
      </c>
      <c r="V52" s="168">
        <v>1</v>
      </c>
      <c r="W52" s="168"/>
      <c r="X52" s="168"/>
      <c r="Y52" s="168"/>
      <c r="Z52" s="168" t="s">
        <v>27</v>
      </c>
      <c r="AA52" s="168">
        <v>1</v>
      </c>
      <c r="AB52" s="168">
        <v>1</v>
      </c>
      <c r="AC52" s="168">
        <v>1</v>
      </c>
      <c r="AD52" s="168">
        <v>1</v>
      </c>
      <c r="AE52" s="168" t="s">
        <v>27</v>
      </c>
      <c r="AF52" s="168" t="s">
        <v>27</v>
      </c>
      <c r="AG52" s="168">
        <v>1</v>
      </c>
      <c r="AH52" s="168" t="s">
        <v>27</v>
      </c>
      <c r="AI52" s="168" t="s">
        <v>27</v>
      </c>
      <c r="AJ52" s="169"/>
      <c r="AK52" s="264">
        <f t="shared" si="9"/>
        <v>23</v>
      </c>
      <c r="AL52" s="265">
        <f t="shared" si="10"/>
        <v>0</v>
      </c>
      <c r="AM52" s="266">
        <f t="shared" si="11"/>
        <v>0</v>
      </c>
      <c r="AN52" s="266"/>
      <c r="AO52" s="266">
        <f t="shared" si="12"/>
        <v>0</v>
      </c>
      <c r="AP52" s="266"/>
      <c r="AQ52" s="266">
        <f t="shared" si="13"/>
        <v>0</v>
      </c>
      <c r="AR52" s="266">
        <f t="shared" si="14"/>
        <v>6.5</v>
      </c>
      <c r="AS52" s="266"/>
      <c r="AT52" s="266">
        <f t="shared" si="15"/>
        <v>0</v>
      </c>
      <c r="AU52" s="266">
        <f t="shared" si="16"/>
        <v>0</v>
      </c>
      <c r="AV52" s="266">
        <f t="shared" si="17"/>
        <v>1</v>
      </c>
      <c r="AW52" s="207"/>
      <c r="AX52" s="207"/>
      <c r="AY52" s="209">
        <f t="shared" si="29"/>
        <v>30.5</v>
      </c>
      <c r="AZ52" s="210">
        <f t="shared" si="30"/>
        <v>0</v>
      </c>
      <c r="BA52" s="268">
        <f t="shared" si="20"/>
        <v>30.5</v>
      </c>
      <c r="BB52" s="211">
        <f t="shared" si="22"/>
        <v>0</v>
      </c>
      <c r="BC52" s="212">
        <f t="shared" si="31"/>
        <v>0</v>
      </c>
      <c r="BD52" s="212">
        <f t="shared" si="24"/>
        <v>0</v>
      </c>
      <c r="BE52" s="212">
        <f t="shared" si="25"/>
        <v>0</v>
      </c>
      <c r="BF52" s="212">
        <f t="shared" si="26"/>
        <v>0</v>
      </c>
      <c r="BG52" s="212">
        <f t="shared" si="27"/>
        <v>0</v>
      </c>
      <c r="BH52" s="234">
        <f t="shared" si="6"/>
        <v>0</v>
      </c>
      <c r="BI52" s="209"/>
      <c r="BJ52" s="209">
        <f t="shared" si="28"/>
        <v>0</v>
      </c>
      <c r="BK52" s="235">
        <f t="shared" si="8"/>
        <v>0</v>
      </c>
      <c r="BL52" s="273">
        <f t="shared" si="21"/>
        <v>30.5</v>
      </c>
      <c r="BM52" s="201"/>
      <c r="BN52" s="201"/>
      <c r="BO52" s="201"/>
      <c r="BP52" s="201"/>
      <c r="BQ52" s="201"/>
      <c r="BR52" s="201"/>
      <c r="BS52" s="201"/>
      <c r="BT52" s="201"/>
      <c r="BU52" s="201"/>
      <c r="BV52" s="201"/>
      <c r="BW52" s="201"/>
      <c r="BX52" s="201"/>
      <c r="BY52" s="201"/>
      <c r="BZ52" s="201"/>
      <c r="CA52" s="201"/>
      <c r="CB52" s="201"/>
      <c r="CC52" s="201"/>
      <c r="CD52" s="201"/>
      <c r="CE52" s="201"/>
      <c r="CF52" s="201"/>
      <c r="CG52" s="201"/>
      <c r="CH52" s="201"/>
      <c r="CI52" s="201"/>
      <c r="CJ52" s="201"/>
      <c r="CK52" s="201"/>
    </row>
    <row r="53" spans="1:89" s="63" customFormat="1" ht="22.8">
      <c r="A53" s="228">
        <v>36</v>
      </c>
      <c r="B53" s="191" t="s">
        <v>24</v>
      </c>
      <c r="C53" s="164">
        <v>8245</v>
      </c>
      <c r="D53" s="165" t="s">
        <v>53</v>
      </c>
      <c r="E53" s="185" t="s">
        <v>38</v>
      </c>
      <c r="F53" s="167"/>
      <c r="G53" s="168">
        <v>3</v>
      </c>
      <c r="H53" s="168" t="s">
        <v>34</v>
      </c>
      <c r="I53" s="168" t="s">
        <v>34</v>
      </c>
      <c r="J53" s="168"/>
      <c r="K53" s="168"/>
      <c r="L53" s="168"/>
      <c r="M53" s="168" t="s">
        <v>34</v>
      </c>
      <c r="N53" s="168">
        <v>3</v>
      </c>
      <c r="O53" s="168" t="s">
        <v>34</v>
      </c>
      <c r="P53" s="168">
        <v>3</v>
      </c>
      <c r="Q53" s="168" t="s">
        <v>34</v>
      </c>
      <c r="R53" s="168"/>
      <c r="S53" s="168"/>
      <c r="T53" s="168">
        <v>3</v>
      </c>
      <c r="U53" s="168">
        <v>3</v>
      </c>
      <c r="V53" s="168" t="s">
        <v>34</v>
      </c>
      <c r="W53" s="168">
        <v>3</v>
      </c>
      <c r="X53" s="168" t="s">
        <v>34</v>
      </c>
      <c r="Y53" s="168"/>
      <c r="Z53" s="168"/>
      <c r="AA53" s="168" t="s">
        <v>34</v>
      </c>
      <c r="AB53" s="168">
        <v>3</v>
      </c>
      <c r="AC53" s="168" t="s">
        <v>34</v>
      </c>
      <c r="AD53" s="168"/>
      <c r="AE53" s="168"/>
      <c r="AF53" s="168"/>
      <c r="AG53" s="168"/>
      <c r="AH53" s="168" t="s">
        <v>34</v>
      </c>
      <c r="AI53" s="168" t="s">
        <v>34</v>
      </c>
      <c r="AJ53" s="169"/>
      <c r="AK53" s="264">
        <f t="shared" si="9"/>
        <v>0</v>
      </c>
      <c r="AL53" s="265">
        <f t="shared" si="10"/>
        <v>0</v>
      </c>
      <c r="AM53" s="266">
        <f t="shared" si="11"/>
        <v>0</v>
      </c>
      <c r="AN53" s="266"/>
      <c r="AO53" s="266">
        <f t="shared" si="12"/>
        <v>0</v>
      </c>
      <c r="AP53" s="266"/>
      <c r="AQ53" s="266">
        <f t="shared" si="13"/>
        <v>0</v>
      </c>
      <c r="AR53" s="266">
        <f t="shared" si="14"/>
        <v>0</v>
      </c>
      <c r="AS53" s="266"/>
      <c r="AT53" s="266">
        <f t="shared" si="15"/>
        <v>0</v>
      </c>
      <c r="AU53" s="266">
        <f t="shared" si="16"/>
        <v>5.5</v>
      </c>
      <c r="AV53" s="266">
        <f t="shared" si="17"/>
        <v>0</v>
      </c>
      <c r="AW53" s="207"/>
      <c r="AX53" s="207"/>
      <c r="AY53" s="209">
        <f t="shared" si="29"/>
        <v>5.5</v>
      </c>
      <c r="AZ53" s="210">
        <f t="shared" si="30"/>
        <v>18</v>
      </c>
      <c r="BA53" s="268">
        <f t="shared" si="20"/>
        <v>23.5</v>
      </c>
      <c r="BB53" s="211">
        <f t="shared" si="22"/>
        <v>0</v>
      </c>
      <c r="BC53" s="212">
        <f t="shared" si="31"/>
        <v>0</v>
      </c>
      <c r="BD53" s="212">
        <f t="shared" si="24"/>
        <v>0</v>
      </c>
      <c r="BE53" s="212">
        <f t="shared" si="25"/>
        <v>0</v>
      </c>
      <c r="BF53" s="212">
        <f t="shared" si="26"/>
        <v>0</v>
      </c>
      <c r="BG53" s="212">
        <f t="shared" si="27"/>
        <v>0</v>
      </c>
      <c r="BH53" s="234">
        <f t="shared" si="6"/>
        <v>0</v>
      </c>
      <c r="BI53" s="209"/>
      <c r="BJ53" s="209">
        <f t="shared" si="28"/>
        <v>0</v>
      </c>
      <c r="BK53" s="235">
        <f t="shared" si="8"/>
        <v>0</v>
      </c>
      <c r="BL53" s="273">
        <f t="shared" si="21"/>
        <v>23.5</v>
      </c>
      <c r="BM53" s="201"/>
      <c r="BN53" s="201"/>
      <c r="BO53" s="201"/>
      <c r="BP53" s="201"/>
      <c r="BQ53" s="201"/>
      <c r="BR53" s="201"/>
      <c r="BS53" s="201"/>
      <c r="BT53" s="201"/>
      <c r="BU53" s="201"/>
      <c r="BV53" s="201"/>
      <c r="BW53" s="201"/>
      <c r="BX53" s="201"/>
      <c r="BY53" s="201"/>
      <c r="BZ53" s="201"/>
      <c r="CA53" s="201"/>
      <c r="CB53" s="201"/>
      <c r="CC53" s="201"/>
      <c r="CD53" s="201"/>
      <c r="CE53" s="201"/>
      <c r="CF53" s="201"/>
      <c r="CG53" s="201"/>
      <c r="CH53" s="201"/>
      <c r="CI53" s="201"/>
      <c r="CJ53" s="201"/>
      <c r="CK53" s="201"/>
    </row>
    <row r="54" spans="1:89" s="63" customFormat="1" ht="22.8">
      <c r="A54" s="228">
        <v>37</v>
      </c>
      <c r="B54" s="191" t="s">
        <v>24</v>
      </c>
      <c r="C54" s="164">
        <v>8247</v>
      </c>
      <c r="D54" s="165" t="s">
        <v>66</v>
      </c>
      <c r="E54" s="185" t="s">
        <v>38</v>
      </c>
      <c r="F54" s="167" t="s">
        <v>29</v>
      </c>
      <c r="G54" s="168" t="s">
        <v>29</v>
      </c>
      <c r="H54" s="168" t="s">
        <v>29</v>
      </c>
      <c r="I54" s="168" t="s">
        <v>29</v>
      </c>
      <c r="J54" s="168" t="s">
        <v>29</v>
      </c>
      <c r="K54" s="168" t="s">
        <v>29</v>
      </c>
      <c r="L54" s="168"/>
      <c r="M54" s="168" t="s">
        <v>29</v>
      </c>
      <c r="N54" s="168" t="s">
        <v>29</v>
      </c>
      <c r="O54" s="168" t="s">
        <v>29</v>
      </c>
      <c r="P54" s="168" t="s">
        <v>29</v>
      </c>
      <c r="Q54" s="168" t="s">
        <v>29</v>
      </c>
      <c r="R54" s="168" t="s">
        <v>29</v>
      </c>
      <c r="S54" s="168"/>
      <c r="T54" s="168" t="s">
        <v>29</v>
      </c>
      <c r="U54" s="168" t="s">
        <v>29</v>
      </c>
      <c r="V54" s="168" t="s">
        <v>29</v>
      </c>
      <c r="W54" s="168" t="s">
        <v>29</v>
      </c>
      <c r="X54" s="168" t="s">
        <v>29</v>
      </c>
      <c r="Y54" s="168" t="s">
        <v>29</v>
      </c>
      <c r="Z54" s="168"/>
      <c r="AA54" s="168" t="s">
        <v>29</v>
      </c>
      <c r="AB54" s="168" t="s">
        <v>29</v>
      </c>
      <c r="AC54" s="168" t="s">
        <v>29</v>
      </c>
      <c r="AD54" s="168" t="s">
        <v>29</v>
      </c>
      <c r="AE54" s="168" t="s">
        <v>29</v>
      </c>
      <c r="AF54" s="168" t="s">
        <v>29</v>
      </c>
      <c r="AG54" s="168"/>
      <c r="AH54" s="168" t="s">
        <v>29</v>
      </c>
      <c r="AI54" s="168" t="s">
        <v>29</v>
      </c>
      <c r="AJ54" s="169"/>
      <c r="AK54" s="264">
        <f t="shared" si="9"/>
        <v>0</v>
      </c>
      <c r="AL54" s="265">
        <f t="shared" si="10"/>
        <v>0</v>
      </c>
      <c r="AM54" s="266">
        <f t="shared" si="11"/>
        <v>0</v>
      </c>
      <c r="AN54" s="266"/>
      <c r="AO54" s="266">
        <f t="shared" si="12"/>
        <v>0</v>
      </c>
      <c r="AP54" s="266"/>
      <c r="AQ54" s="266">
        <f t="shared" si="13"/>
        <v>0</v>
      </c>
      <c r="AR54" s="266">
        <f t="shared" si="14"/>
        <v>0</v>
      </c>
      <c r="AS54" s="266"/>
      <c r="AT54" s="266">
        <f t="shared" si="15"/>
        <v>0</v>
      </c>
      <c r="AU54" s="266">
        <f t="shared" si="16"/>
        <v>0</v>
      </c>
      <c r="AV54" s="266">
        <f t="shared" si="17"/>
        <v>26</v>
      </c>
      <c r="AW54" s="207"/>
      <c r="AX54" s="207"/>
      <c r="AY54" s="209">
        <f t="shared" si="29"/>
        <v>26</v>
      </c>
      <c r="AZ54" s="210">
        <f t="shared" si="30"/>
        <v>0</v>
      </c>
      <c r="BA54" s="268">
        <f t="shared" si="20"/>
        <v>26</v>
      </c>
      <c r="BB54" s="211">
        <f t="shared" si="22"/>
        <v>0</v>
      </c>
      <c r="BC54" s="212">
        <f t="shared" si="31"/>
        <v>0</v>
      </c>
      <c r="BD54" s="212">
        <f t="shared" si="24"/>
        <v>0</v>
      </c>
      <c r="BE54" s="212">
        <f t="shared" si="25"/>
        <v>0</v>
      </c>
      <c r="BF54" s="212">
        <f t="shared" si="26"/>
        <v>0</v>
      </c>
      <c r="BG54" s="212">
        <f t="shared" si="27"/>
        <v>0</v>
      </c>
      <c r="BH54" s="234">
        <f t="shared" si="6"/>
        <v>0</v>
      </c>
      <c r="BI54" s="209"/>
      <c r="BJ54" s="209">
        <f t="shared" si="28"/>
        <v>0</v>
      </c>
      <c r="BK54" s="235">
        <f t="shared" si="8"/>
        <v>0</v>
      </c>
      <c r="BL54" s="273">
        <f t="shared" si="21"/>
        <v>26</v>
      </c>
      <c r="BM54" s="201"/>
      <c r="BN54" s="201"/>
      <c r="BO54" s="201"/>
      <c r="BP54" s="201"/>
      <c r="BQ54" s="201"/>
      <c r="BR54" s="201"/>
      <c r="BS54" s="201"/>
      <c r="BT54" s="201"/>
      <c r="BU54" s="201"/>
      <c r="BV54" s="201"/>
      <c r="BW54" s="201"/>
      <c r="BX54" s="201"/>
      <c r="BY54" s="201"/>
      <c r="BZ54" s="201"/>
      <c r="CA54" s="201"/>
      <c r="CB54" s="201"/>
      <c r="CC54" s="201"/>
      <c r="CD54" s="201"/>
      <c r="CE54" s="201"/>
      <c r="CF54" s="201"/>
      <c r="CG54" s="201"/>
      <c r="CH54" s="201"/>
      <c r="CI54" s="201"/>
      <c r="CJ54" s="201"/>
      <c r="CK54" s="201"/>
    </row>
    <row r="55" spans="1:89" s="63" customFormat="1" ht="22.8">
      <c r="A55" s="249">
        <v>38</v>
      </c>
      <c r="B55" s="191" t="s">
        <v>24</v>
      </c>
      <c r="C55" s="164">
        <v>8249</v>
      </c>
      <c r="D55" s="165" t="s">
        <v>311</v>
      </c>
      <c r="E55" s="185" t="s">
        <v>38</v>
      </c>
      <c r="F55" s="167"/>
      <c r="G55" s="168" t="s">
        <v>29</v>
      </c>
      <c r="H55" s="168" t="s">
        <v>29</v>
      </c>
      <c r="I55" s="168" t="s">
        <v>29</v>
      </c>
      <c r="J55" s="168" t="s">
        <v>29</v>
      </c>
      <c r="K55" s="168" t="s">
        <v>29</v>
      </c>
      <c r="L55" s="168" t="s">
        <v>29</v>
      </c>
      <c r="M55" s="168" t="s">
        <v>29</v>
      </c>
      <c r="N55" s="168" t="s">
        <v>29</v>
      </c>
      <c r="O55" s="168" t="s">
        <v>29</v>
      </c>
      <c r="P55" s="168" t="s">
        <v>29</v>
      </c>
      <c r="Q55" s="168" t="s">
        <v>29</v>
      </c>
      <c r="R55" s="168" t="s">
        <v>29</v>
      </c>
      <c r="S55" s="168" t="s">
        <v>27</v>
      </c>
      <c r="T55" s="168" t="s">
        <v>29</v>
      </c>
      <c r="U55" s="168" t="s">
        <v>29</v>
      </c>
      <c r="V55" s="168" t="s">
        <v>29</v>
      </c>
      <c r="W55" s="168"/>
      <c r="X55" s="168"/>
      <c r="Y55" s="168"/>
      <c r="Z55" s="168" t="s">
        <v>33</v>
      </c>
      <c r="AA55" s="168" t="s">
        <v>29</v>
      </c>
      <c r="AB55" s="168" t="s">
        <v>29</v>
      </c>
      <c r="AC55" s="168" t="s">
        <v>29</v>
      </c>
      <c r="AD55" s="168" t="s">
        <v>29</v>
      </c>
      <c r="AE55" s="168" t="s">
        <v>29</v>
      </c>
      <c r="AF55" s="168"/>
      <c r="AG55" s="168" t="s">
        <v>29</v>
      </c>
      <c r="AH55" s="168" t="s">
        <v>29</v>
      </c>
      <c r="AI55" s="168" t="s">
        <v>29</v>
      </c>
      <c r="AJ55" s="169"/>
      <c r="AK55" s="264">
        <f t="shared" si="9"/>
        <v>1</v>
      </c>
      <c r="AL55" s="265">
        <f t="shared" si="10"/>
        <v>0</v>
      </c>
      <c r="AM55" s="266">
        <f t="shared" si="11"/>
        <v>0</v>
      </c>
      <c r="AN55" s="266"/>
      <c r="AO55" s="266">
        <f t="shared" si="12"/>
        <v>0</v>
      </c>
      <c r="AP55" s="266"/>
      <c r="AQ55" s="266">
        <f t="shared" si="13"/>
        <v>0</v>
      </c>
      <c r="AR55" s="266">
        <f t="shared" si="14"/>
        <v>1</v>
      </c>
      <c r="AS55" s="266"/>
      <c r="AT55" s="266">
        <f t="shared" si="15"/>
        <v>0</v>
      </c>
      <c r="AU55" s="266">
        <f t="shared" si="16"/>
        <v>0</v>
      </c>
      <c r="AV55" s="266">
        <f t="shared" si="17"/>
        <v>23</v>
      </c>
      <c r="AW55" s="207"/>
      <c r="AX55" s="207"/>
      <c r="AY55" s="209">
        <f t="shared" si="29"/>
        <v>25</v>
      </c>
      <c r="AZ55" s="210">
        <f t="shared" si="30"/>
        <v>0</v>
      </c>
      <c r="BA55" s="268">
        <f t="shared" si="20"/>
        <v>25</v>
      </c>
      <c r="BB55" s="211">
        <f t="shared" si="22"/>
        <v>0</v>
      </c>
      <c r="BC55" s="212">
        <f t="shared" si="31"/>
        <v>0</v>
      </c>
      <c r="BD55" s="212">
        <f t="shared" si="24"/>
        <v>0</v>
      </c>
      <c r="BE55" s="212">
        <f t="shared" si="25"/>
        <v>0</v>
      </c>
      <c r="BF55" s="212">
        <f t="shared" si="26"/>
        <v>0</v>
      </c>
      <c r="BG55" s="212">
        <f t="shared" si="27"/>
        <v>0</v>
      </c>
      <c r="BH55" s="234">
        <f t="shared" si="6"/>
        <v>0</v>
      </c>
      <c r="BI55" s="209"/>
      <c r="BJ55" s="209">
        <f t="shared" si="28"/>
        <v>0</v>
      </c>
      <c r="BK55" s="235">
        <f t="shared" si="8"/>
        <v>0</v>
      </c>
      <c r="BL55" s="273">
        <f t="shared" si="21"/>
        <v>25</v>
      </c>
      <c r="BM55" s="201"/>
      <c r="BN55" s="201"/>
      <c r="BO55" s="201"/>
      <c r="BP55" s="201"/>
      <c r="BQ55" s="201"/>
      <c r="BR55" s="201"/>
      <c r="BS55" s="201"/>
      <c r="BT55" s="201"/>
      <c r="BU55" s="201"/>
      <c r="BV55" s="201"/>
      <c r="BW55" s="201"/>
      <c r="BX55" s="201"/>
      <c r="BY55" s="201"/>
      <c r="BZ55" s="201"/>
      <c r="CA55" s="201"/>
      <c r="CB55" s="201"/>
      <c r="CC55" s="201"/>
      <c r="CD55" s="201"/>
      <c r="CE55" s="201"/>
      <c r="CF55" s="201"/>
      <c r="CG55" s="201"/>
      <c r="CH55" s="201"/>
      <c r="CI55" s="201"/>
      <c r="CJ55" s="201"/>
      <c r="CK55" s="201"/>
    </row>
    <row r="56" spans="1:89" s="63" customFormat="1" ht="22.8">
      <c r="A56" s="228">
        <v>39</v>
      </c>
      <c r="B56" s="191" t="s">
        <v>24</v>
      </c>
      <c r="C56" s="164">
        <v>8254</v>
      </c>
      <c r="D56" s="165" t="s">
        <v>47</v>
      </c>
      <c r="E56" s="185" t="s">
        <v>38</v>
      </c>
      <c r="F56" s="167" t="s">
        <v>29</v>
      </c>
      <c r="G56" s="168" t="s">
        <v>29</v>
      </c>
      <c r="H56" s="168" t="s">
        <v>29</v>
      </c>
      <c r="I56" s="168" t="s">
        <v>29</v>
      </c>
      <c r="J56" s="168" t="s">
        <v>29</v>
      </c>
      <c r="K56" s="168" t="s">
        <v>29</v>
      </c>
      <c r="L56" s="168" t="s">
        <v>27</v>
      </c>
      <c r="M56" s="168" t="s">
        <v>29</v>
      </c>
      <c r="N56" s="168" t="s">
        <v>27</v>
      </c>
      <c r="O56" s="168" t="s">
        <v>29</v>
      </c>
      <c r="P56" s="168" t="s">
        <v>29</v>
      </c>
      <c r="Q56" s="168" t="s">
        <v>29</v>
      </c>
      <c r="R56" s="168" t="s">
        <v>29</v>
      </c>
      <c r="S56" s="168" t="s">
        <v>29</v>
      </c>
      <c r="T56" s="168" t="s">
        <v>29</v>
      </c>
      <c r="U56" s="168" t="s">
        <v>29</v>
      </c>
      <c r="V56" s="168" t="s">
        <v>29</v>
      </c>
      <c r="W56" s="168" t="s">
        <v>29</v>
      </c>
      <c r="X56" s="168" t="s">
        <v>29</v>
      </c>
      <c r="Y56" s="168" t="s">
        <v>29</v>
      </c>
      <c r="Z56" s="168" t="s">
        <v>29</v>
      </c>
      <c r="AA56" s="168" t="s">
        <v>29</v>
      </c>
      <c r="AB56" s="168" t="s">
        <v>29</v>
      </c>
      <c r="AC56" s="168" t="s">
        <v>29</v>
      </c>
      <c r="AD56" s="168" t="s">
        <v>29</v>
      </c>
      <c r="AE56" s="168" t="s">
        <v>29</v>
      </c>
      <c r="AF56" s="168" t="s">
        <v>29</v>
      </c>
      <c r="AG56" s="168" t="s">
        <v>29</v>
      </c>
      <c r="AH56" s="168" t="s">
        <v>29</v>
      </c>
      <c r="AI56" s="168" t="s">
        <v>29</v>
      </c>
      <c r="AJ56" s="169"/>
      <c r="AK56" s="264">
        <f t="shared" si="9"/>
        <v>2</v>
      </c>
      <c r="AL56" s="265">
        <f t="shared" si="10"/>
        <v>0</v>
      </c>
      <c r="AM56" s="266">
        <f t="shared" si="11"/>
        <v>0</v>
      </c>
      <c r="AN56" s="266"/>
      <c r="AO56" s="266">
        <f t="shared" si="12"/>
        <v>0</v>
      </c>
      <c r="AP56" s="266"/>
      <c r="AQ56" s="266">
        <f t="shared" si="13"/>
        <v>0</v>
      </c>
      <c r="AR56" s="266">
        <f t="shared" si="14"/>
        <v>1</v>
      </c>
      <c r="AS56" s="266"/>
      <c r="AT56" s="266">
        <f t="shared" si="15"/>
        <v>0</v>
      </c>
      <c r="AU56" s="266">
        <f t="shared" si="16"/>
        <v>0</v>
      </c>
      <c r="AV56" s="266">
        <f t="shared" si="17"/>
        <v>28</v>
      </c>
      <c r="AW56" s="207"/>
      <c r="AX56" s="207"/>
      <c r="AY56" s="209">
        <f t="shared" si="29"/>
        <v>31</v>
      </c>
      <c r="AZ56" s="210">
        <f t="shared" si="30"/>
        <v>0</v>
      </c>
      <c r="BA56" s="268">
        <f t="shared" si="20"/>
        <v>31</v>
      </c>
      <c r="BB56" s="211">
        <f t="shared" si="22"/>
        <v>0</v>
      </c>
      <c r="BC56" s="212">
        <f t="shared" si="31"/>
        <v>0</v>
      </c>
      <c r="BD56" s="212">
        <f t="shared" si="24"/>
        <v>0</v>
      </c>
      <c r="BE56" s="212">
        <f t="shared" si="25"/>
        <v>0</v>
      </c>
      <c r="BF56" s="212">
        <f t="shared" si="26"/>
        <v>0</v>
      </c>
      <c r="BG56" s="212">
        <f t="shared" si="27"/>
        <v>0</v>
      </c>
      <c r="BH56" s="234">
        <f t="shared" si="6"/>
        <v>0</v>
      </c>
      <c r="BI56" s="209"/>
      <c r="BJ56" s="209">
        <f t="shared" si="28"/>
        <v>0</v>
      </c>
      <c r="BK56" s="235">
        <f t="shared" si="8"/>
        <v>0</v>
      </c>
      <c r="BL56" s="273">
        <f t="shared" si="21"/>
        <v>31</v>
      </c>
      <c r="BM56" s="201"/>
      <c r="BN56" s="201"/>
      <c r="BO56" s="201"/>
      <c r="BP56" s="201"/>
      <c r="BQ56" s="201"/>
      <c r="BR56" s="201"/>
      <c r="BS56" s="201"/>
      <c r="BT56" s="201"/>
      <c r="BU56" s="201"/>
      <c r="BV56" s="201"/>
      <c r="BW56" s="201"/>
      <c r="BX56" s="201"/>
      <c r="BY56" s="201"/>
      <c r="BZ56" s="201"/>
      <c r="CA56" s="201"/>
      <c r="CB56" s="201"/>
      <c r="CC56" s="201"/>
      <c r="CD56" s="201"/>
      <c r="CE56" s="201"/>
      <c r="CF56" s="201"/>
      <c r="CG56" s="201"/>
      <c r="CH56" s="201"/>
      <c r="CI56" s="201"/>
      <c r="CJ56" s="201"/>
      <c r="CK56" s="201"/>
    </row>
    <row r="57" spans="1:89" s="63" customFormat="1" ht="22.8">
      <c r="A57" s="228">
        <v>40</v>
      </c>
      <c r="B57" s="191" t="s">
        <v>24</v>
      </c>
      <c r="C57" s="164">
        <v>8255</v>
      </c>
      <c r="D57" s="165" t="s">
        <v>253</v>
      </c>
      <c r="E57" s="185" t="s">
        <v>38</v>
      </c>
      <c r="F57" s="167"/>
      <c r="G57" s="168"/>
      <c r="H57" s="168">
        <v>2</v>
      </c>
      <c r="I57" s="168">
        <v>2</v>
      </c>
      <c r="J57" s="168" t="s">
        <v>34</v>
      </c>
      <c r="K57" s="168" t="s">
        <v>34</v>
      </c>
      <c r="L57" s="168" t="s">
        <v>35</v>
      </c>
      <c r="M57" s="168" t="s">
        <v>34</v>
      </c>
      <c r="N57" s="168">
        <v>3</v>
      </c>
      <c r="O57" s="168">
        <v>3</v>
      </c>
      <c r="P57" s="168">
        <v>3</v>
      </c>
      <c r="Q57" s="168"/>
      <c r="R57" s="168" t="s">
        <v>34</v>
      </c>
      <c r="S57" s="168" t="s">
        <v>34</v>
      </c>
      <c r="T57" s="168">
        <v>3</v>
      </c>
      <c r="U57" s="168"/>
      <c r="V57" s="168" t="s">
        <v>29</v>
      </c>
      <c r="W57" s="168" t="s">
        <v>27</v>
      </c>
      <c r="X57" s="168">
        <v>1</v>
      </c>
      <c r="Y57" s="168" t="s">
        <v>27</v>
      </c>
      <c r="Z57" s="168">
        <v>1</v>
      </c>
      <c r="AA57" s="168" t="s">
        <v>27</v>
      </c>
      <c r="AB57" s="168">
        <v>1</v>
      </c>
      <c r="AC57" s="168" t="s">
        <v>27</v>
      </c>
      <c r="AD57" s="168">
        <v>1</v>
      </c>
      <c r="AE57" s="168" t="s">
        <v>27</v>
      </c>
      <c r="AF57" s="168">
        <v>1</v>
      </c>
      <c r="AG57" s="168" t="s">
        <v>27</v>
      </c>
      <c r="AH57" s="168">
        <v>1</v>
      </c>
      <c r="AI57" s="168">
        <v>1</v>
      </c>
      <c r="AJ57" s="169"/>
      <c r="AK57" s="264">
        <f t="shared" si="9"/>
        <v>13</v>
      </c>
      <c r="AL57" s="265">
        <f t="shared" si="10"/>
        <v>0</v>
      </c>
      <c r="AM57" s="266">
        <f t="shared" si="11"/>
        <v>0</v>
      </c>
      <c r="AN57" s="266"/>
      <c r="AO57" s="266">
        <f t="shared" si="12"/>
        <v>0</v>
      </c>
      <c r="AP57" s="266"/>
      <c r="AQ57" s="266">
        <f t="shared" si="13"/>
        <v>2</v>
      </c>
      <c r="AR57" s="266">
        <f t="shared" si="14"/>
        <v>3</v>
      </c>
      <c r="AS57" s="266"/>
      <c r="AT57" s="266">
        <f t="shared" si="15"/>
        <v>0</v>
      </c>
      <c r="AU57" s="266">
        <f t="shared" si="16"/>
        <v>3</v>
      </c>
      <c r="AV57" s="266">
        <f t="shared" si="17"/>
        <v>1</v>
      </c>
      <c r="AW57" s="207"/>
      <c r="AX57" s="207"/>
      <c r="AY57" s="209">
        <f t="shared" si="29"/>
        <v>22</v>
      </c>
      <c r="AZ57" s="210">
        <f t="shared" si="30"/>
        <v>9</v>
      </c>
      <c r="BA57" s="268">
        <f t="shared" si="20"/>
        <v>31</v>
      </c>
      <c r="BB57" s="211">
        <f t="shared" si="22"/>
        <v>0</v>
      </c>
      <c r="BC57" s="212">
        <f t="shared" si="31"/>
        <v>0</v>
      </c>
      <c r="BD57" s="212">
        <f t="shared" si="24"/>
        <v>0</v>
      </c>
      <c r="BE57" s="212">
        <f t="shared" si="25"/>
        <v>0</v>
      </c>
      <c r="BF57" s="212">
        <f t="shared" si="26"/>
        <v>0</v>
      </c>
      <c r="BG57" s="212">
        <f t="shared" si="27"/>
        <v>0</v>
      </c>
      <c r="BH57" s="234">
        <f t="shared" si="6"/>
        <v>0</v>
      </c>
      <c r="BI57" s="209"/>
      <c r="BJ57" s="209">
        <f t="shared" si="28"/>
        <v>0</v>
      </c>
      <c r="BK57" s="235">
        <f t="shared" si="8"/>
        <v>0</v>
      </c>
      <c r="BL57" s="273">
        <f t="shared" si="21"/>
        <v>31</v>
      </c>
      <c r="BM57" s="201"/>
      <c r="BN57" s="201"/>
      <c r="BO57" s="201"/>
      <c r="BP57" s="201"/>
      <c r="BQ57" s="201"/>
      <c r="BR57" s="201"/>
      <c r="BS57" s="201"/>
      <c r="BT57" s="201"/>
      <c r="BU57" s="201"/>
      <c r="BV57" s="201"/>
      <c r="BW57" s="201"/>
      <c r="BX57" s="201"/>
      <c r="BY57" s="201"/>
      <c r="BZ57" s="201"/>
      <c r="CA57" s="201"/>
      <c r="CB57" s="201"/>
      <c r="CC57" s="201"/>
      <c r="CD57" s="201"/>
      <c r="CE57" s="201"/>
      <c r="CF57" s="201"/>
      <c r="CG57" s="201"/>
      <c r="CH57" s="201"/>
      <c r="CI57" s="201"/>
      <c r="CJ57" s="201"/>
      <c r="CK57" s="201"/>
    </row>
    <row r="58" spans="1:89" s="63" customFormat="1" ht="22.8">
      <c r="A58" s="249">
        <v>41</v>
      </c>
      <c r="B58" s="191" t="s">
        <v>24</v>
      </c>
      <c r="C58" s="164">
        <v>8256</v>
      </c>
      <c r="D58" s="165" t="s">
        <v>254</v>
      </c>
      <c r="E58" s="185" t="s">
        <v>38</v>
      </c>
      <c r="F58" s="167" t="s">
        <v>259</v>
      </c>
      <c r="G58" s="168" t="s">
        <v>259</v>
      </c>
      <c r="H58" s="168" t="s">
        <v>259</v>
      </c>
      <c r="I58" s="168" t="s">
        <v>259</v>
      </c>
      <c r="J58" s="168" t="s">
        <v>259</v>
      </c>
      <c r="K58" s="168" t="s">
        <v>259</v>
      </c>
      <c r="L58" s="168" t="s">
        <v>259</v>
      </c>
      <c r="M58" s="168" t="s">
        <v>259</v>
      </c>
      <c r="N58" s="168" t="s">
        <v>259</v>
      </c>
      <c r="O58" s="168" t="s">
        <v>259</v>
      </c>
      <c r="P58" s="168" t="s">
        <v>259</v>
      </c>
      <c r="Q58" s="168" t="s">
        <v>259</v>
      </c>
      <c r="R58" s="168" t="s">
        <v>259</v>
      </c>
      <c r="S58" s="168" t="s">
        <v>259</v>
      </c>
      <c r="T58" s="168" t="s">
        <v>259</v>
      </c>
      <c r="U58" s="168" t="s">
        <v>259</v>
      </c>
      <c r="V58" s="168" t="s">
        <v>259</v>
      </c>
      <c r="W58" s="168" t="s">
        <v>259</v>
      </c>
      <c r="X58" s="168" t="s">
        <v>259</v>
      </c>
      <c r="Y58" s="168" t="s">
        <v>259</v>
      </c>
      <c r="Z58" s="168" t="s">
        <v>259</v>
      </c>
      <c r="AA58" s="168" t="s">
        <v>259</v>
      </c>
      <c r="AB58" s="168" t="s">
        <v>259</v>
      </c>
      <c r="AC58" s="168" t="s">
        <v>259</v>
      </c>
      <c r="AD58" s="168" t="s">
        <v>259</v>
      </c>
      <c r="AE58" s="168" t="s">
        <v>259</v>
      </c>
      <c r="AF58" s="168" t="s">
        <v>259</v>
      </c>
      <c r="AG58" s="168" t="s">
        <v>259</v>
      </c>
      <c r="AH58" s="168" t="s">
        <v>259</v>
      </c>
      <c r="AI58" s="168" t="s">
        <v>259</v>
      </c>
      <c r="AJ58" s="169"/>
      <c r="AK58" s="264">
        <f t="shared" si="9"/>
        <v>0</v>
      </c>
      <c r="AL58" s="265">
        <f t="shared" si="10"/>
        <v>0</v>
      </c>
      <c r="AM58" s="266">
        <f t="shared" si="11"/>
        <v>0</v>
      </c>
      <c r="AN58" s="266"/>
      <c r="AO58" s="266">
        <f t="shared" si="12"/>
        <v>0</v>
      </c>
      <c r="AP58" s="266"/>
      <c r="AQ58" s="266">
        <f t="shared" si="13"/>
        <v>0</v>
      </c>
      <c r="AR58" s="266">
        <f t="shared" si="14"/>
        <v>0</v>
      </c>
      <c r="AS58" s="266"/>
      <c r="AT58" s="266">
        <f t="shared" si="15"/>
        <v>0</v>
      </c>
      <c r="AU58" s="266">
        <f t="shared" si="16"/>
        <v>0</v>
      </c>
      <c r="AV58" s="266">
        <f t="shared" si="17"/>
        <v>0</v>
      </c>
      <c r="AW58" s="207"/>
      <c r="AX58" s="207"/>
      <c r="AY58" s="209">
        <f t="shared" si="29"/>
        <v>0</v>
      </c>
      <c r="AZ58" s="210">
        <f t="shared" si="30"/>
        <v>0</v>
      </c>
      <c r="BA58" s="268">
        <f t="shared" si="20"/>
        <v>0</v>
      </c>
      <c r="BB58" s="211">
        <f t="shared" si="22"/>
        <v>0</v>
      </c>
      <c r="BC58" s="212">
        <f t="shared" si="31"/>
        <v>0</v>
      </c>
      <c r="BD58" s="212">
        <f t="shared" si="24"/>
        <v>0</v>
      </c>
      <c r="BE58" s="212">
        <f t="shared" si="25"/>
        <v>0</v>
      </c>
      <c r="BF58" s="212">
        <f t="shared" si="26"/>
        <v>0</v>
      </c>
      <c r="BG58" s="212">
        <f t="shared" si="27"/>
        <v>0</v>
      </c>
      <c r="BH58" s="234">
        <f t="shared" si="6"/>
        <v>0</v>
      </c>
      <c r="BI58" s="209"/>
      <c r="BJ58" s="209">
        <f t="shared" si="28"/>
        <v>0</v>
      </c>
      <c r="BK58" s="235">
        <f t="shared" si="8"/>
        <v>0</v>
      </c>
      <c r="BL58" s="273">
        <f t="shared" si="21"/>
        <v>0</v>
      </c>
      <c r="BM58" s="201"/>
      <c r="BN58" s="201"/>
      <c r="BO58" s="201"/>
      <c r="BP58" s="201"/>
      <c r="BQ58" s="201"/>
      <c r="BR58" s="201"/>
      <c r="BS58" s="201"/>
      <c r="BT58" s="201"/>
      <c r="BU58" s="201"/>
      <c r="BV58" s="201"/>
      <c r="BW58" s="201"/>
      <c r="BX58" s="201"/>
      <c r="BY58" s="201"/>
      <c r="BZ58" s="201"/>
      <c r="CA58" s="201"/>
      <c r="CB58" s="201"/>
      <c r="CC58" s="201"/>
      <c r="CD58" s="201"/>
      <c r="CE58" s="201"/>
      <c r="CF58" s="201"/>
      <c r="CG58" s="201"/>
      <c r="CH58" s="201"/>
      <c r="CI58" s="201"/>
      <c r="CJ58" s="201"/>
      <c r="CK58" s="201"/>
    </row>
    <row r="59" spans="1:89" s="63" customFormat="1" ht="36">
      <c r="A59" s="228">
        <v>42</v>
      </c>
      <c r="B59" s="191" t="s">
        <v>24</v>
      </c>
      <c r="C59" s="164">
        <v>8258</v>
      </c>
      <c r="D59" s="165" t="s">
        <v>48</v>
      </c>
      <c r="E59" s="185" t="s">
        <v>38</v>
      </c>
      <c r="F59" s="167">
        <v>3</v>
      </c>
      <c r="G59" s="168">
        <v>3</v>
      </c>
      <c r="H59" s="168" t="s">
        <v>34</v>
      </c>
      <c r="I59" s="168">
        <v>3</v>
      </c>
      <c r="J59" s="168">
        <v>3</v>
      </c>
      <c r="K59" s="168">
        <v>3</v>
      </c>
      <c r="L59" s="168" t="s">
        <v>34</v>
      </c>
      <c r="M59" s="168">
        <v>3</v>
      </c>
      <c r="N59" s="168">
        <v>3</v>
      </c>
      <c r="O59" s="168">
        <v>3</v>
      </c>
      <c r="P59" s="168">
        <v>3</v>
      </c>
      <c r="Q59" s="168">
        <v>3</v>
      </c>
      <c r="R59" s="168">
        <v>3</v>
      </c>
      <c r="S59" s="168">
        <v>3</v>
      </c>
      <c r="T59" s="168">
        <v>3</v>
      </c>
      <c r="U59" s="168">
        <v>3</v>
      </c>
      <c r="V59" s="168">
        <v>3</v>
      </c>
      <c r="W59" s="168" t="s">
        <v>34</v>
      </c>
      <c r="X59" s="168">
        <v>3</v>
      </c>
      <c r="Y59" s="168">
        <v>3</v>
      </c>
      <c r="Z59" s="168" t="s">
        <v>34</v>
      </c>
      <c r="AA59" s="168" t="s">
        <v>34</v>
      </c>
      <c r="AB59" s="168"/>
      <c r="AC59" s="168">
        <v>3</v>
      </c>
      <c r="AD59" s="168"/>
      <c r="AE59" s="168">
        <v>3</v>
      </c>
      <c r="AF59" s="168">
        <v>3</v>
      </c>
      <c r="AG59" s="168" t="s">
        <v>34</v>
      </c>
      <c r="AH59" s="168">
        <v>3</v>
      </c>
      <c r="AI59" s="168">
        <v>3</v>
      </c>
      <c r="AJ59" s="169"/>
      <c r="AK59" s="264">
        <f t="shared" si="9"/>
        <v>0</v>
      </c>
      <c r="AL59" s="265">
        <f t="shared" si="10"/>
        <v>0</v>
      </c>
      <c r="AM59" s="266">
        <f t="shared" si="11"/>
        <v>0</v>
      </c>
      <c r="AN59" s="266"/>
      <c r="AO59" s="266">
        <f t="shared" si="12"/>
        <v>0</v>
      </c>
      <c r="AP59" s="266"/>
      <c r="AQ59" s="266">
        <f t="shared" si="13"/>
        <v>0</v>
      </c>
      <c r="AR59" s="266">
        <f t="shared" si="14"/>
        <v>0</v>
      </c>
      <c r="AS59" s="266"/>
      <c r="AT59" s="266">
        <f t="shared" si="15"/>
        <v>0</v>
      </c>
      <c r="AU59" s="266">
        <f t="shared" si="16"/>
        <v>3</v>
      </c>
      <c r="AV59" s="266">
        <f t="shared" si="17"/>
        <v>0</v>
      </c>
      <c r="AW59" s="207"/>
      <c r="AX59" s="207"/>
      <c r="AY59" s="209">
        <f t="shared" si="29"/>
        <v>3</v>
      </c>
      <c r="AZ59" s="210">
        <f t="shared" si="30"/>
        <v>28</v>
      </c>
      <c r="BA59" s="268">
        <f t="shared" si="20"/>
        <v>31</v>
      </c>
      <c r="BB59" s="211">
        <f t="shared" si="22"/>
        <v>0</v>
      </c>
      <c r="BC59" s="212">
        <f t="shared" si="31"/>
        <v>0</v>
      </c>
      <c r="BD59" s="212">
        <f t="shared" si="24"/>
        <v>0</v>
      </c>
      <c r="BE59" s="212">
        <f t="shared" si="25"/>
        <v>0</v>
      </c>
      <c r="BF59" s="212">
        <f t="shared" si="26"/>
        <v>0</v>
      </c>
      <c r="BG59" s="212">
        <f t="shared" si="27"/>
        <v>0</v>
      </c>
      <c r="BH59" s="234">
        <f t="shared" si="6"/>
        <v>0</v>
      </c>
      <c r="BI59" s="209"/>
      <c r="BJ59" s="209">
        <f t="shared" si="28"/>
        <v>0</v>
      </c>
      <c r="BK59" s="235">
        <f t="shared" si="8"/>
        <v>0</v>
      </c>
      <c r="BL59" s="273">
        <f t="shared" si="21"/>
        <v>31</v>
      </c>
      <c r="BM59" s="201"/>
      <c r="BN59" s="201"/>
      <c r="BO59" s="201"/>
      <c r="BP59" s="201"/>
      <c r="BQ59" s="201"/>
      <c r="BR59" s="201"/>
      <c r="BS59" s="201"/>
      <c r="BT59" s="201"/>
      <c r="BU59" s="201"/>
      <c r="BV59" s="201"/>
      <c r="BW59" s="201"/>
      <c r="BX59" s="201"/>
      <c r="BY59" s="201"/>
      <c r="BZ59" s="201"/>
      <c r="CA59" s="201"/>
      <c r="CB59" s="201"/>
      <c r="CC59" s="201"/>
      <c r="CD59" s="201"/>
      <c r="CE59" s="201"/>
      <c r="CF59" s="201"/>
      <c r="CG59" s="201"/>
      <c r="CH59" s="201"/>
      <c r="CI59" s="201"/>
      <c r="CJ59" s="201"/>
      <c r="CK59" s="201"/>
    </row>
    <row r="60" spans="1:89" s="63" customFormat="1" ht="36">
      <c r="A60" s="228">
        <v>43</v>
      </c>
      <c r="B60" s="191" t="s">
        <v>24</v>
      </c>
      <c r="C60" s="164">
        <v>8262</v>
      </c>
      <c r="D60" s="165" t="s">
        <v>50</v>
      </c>
      <c r="E60" s="185" t="s">
        <v>38</v>
      </c>
      <c r="F60" s="167">
        <v>1</v>
      </c>
      <c r="G60" s="168">
        <v>1</v>
      </c>
      <c r="H60" s="168"/>
      <c r="I60" s="168" t="s">
        <v>27</v>
      </c>
      <c r="J60" s="168" t="s">
        <v>29</v>
      </c>
      <c r="K60" s="168" t="s">
        <v>29</v>
      </c>
      <c r="L60" s="168"/>
      <c r="M60" s="168">
        <v>2</v>
      </c>
      <c r="N60" s="168">
        <v>2</v>
      </c>
      <c r="O60" s="168">
        <v>2</v>
      </c>
      <c r="P60" s="168">
        <v>2</v>
      </c>
      <c r="Q60" s="168">
        <v>2</v>
      </c>
      <c r="R60" s="168">
        <v>2</v>
      </c>
      <c r="S60" s="168"/>
      <c r="T60" s="168" t="s">
        <v>35</v>
      </c>
      <c r="U60" s="168" t="s">
        <v>193</v>
      </c>
      <c r="V60" s="168" t="s">
        <v>29</v>
      </c>
      <c r="W60" s="168" t="s">
        <v>193</v>
      </c>
      <c r="X60" s="168">
        <v>1</v>
      </c>
      <c r="Y60" s="168">
        <v>1</v>
      </c>
      <c r="Z60" s="168"/>
      <c r="AA60" s="168"/>
      <c r="AB60" s="168">
        <v>2</v>
      </c>
      <c r="AC60" s="168">
        <v>2</v>
      </c>
      <c r="AD60" s="168">
        <v>2</v>
      </c>
      <c r="AE60" s="168">
        <v>2</v>
      </c>
      <c r="AF60" s="168" t="s">
        <v>193</v>
      </c>
      <c r="AG60" s="168" t="s">
        <v>29</v>
      </c>
      <c r="AH60" s="168"/>
      <c r="AI60" s="168">
        <v>1</v>
      </c>
      <c r="AJ60" s="169"/>
      <c r="AK60" s="264">
        <f t="shared" si="9"/>
        <v>6</v>
      </c>
      <c r="AL60" s="265">
        <f t="shared" si="10"/>
        <v>0</v>
      </c>
      <c r="AM60" s="266">
        <f t="shared" si="11"/>
        <v>1.5</v>
      </c>
      <c r="AN60" s="266"/>
      <c r="AO60" s="266">
        <f t="shared" si="12"/>
        <v>0</v>
      </c>
      <c r="AP60" s="266"/>
      <c r="AQ60" s="266">
        <f t="shared" si="13"/>
        <v>10</v>
      </c>
      <c r="AR60" s="266">
        <f t="shared" si="14"/>
        <v>2</v>
      </c>
      <c r="AS60" s="266"/>
      <c r="AT60" s="266">
        <f t="shared" si="15"/>
        <v>0</v>
      </c>
      <c r="AU60" s="266">
        <f t="shared" si="16"/>
        <v>0.5</v>
      </c>
      <c r="AV60" s="266">
        <f t="shared" si="17"/>
        <v>4</v>
      </c>
      <c r="AW60" s="207"/>
      <c r="AX60" s="207"/>
      <c r="AY60" s="209">
        <f t="shared" si="29"/>
        <v>24</v>
      </c>
      <c r="AZ60" s="210">
        <f t="shared" si="30"/>
        <v>0</v>
      </c>
      <c r="BA60" s="268">
        <f t="shared" si="20"/>
        <v>24</v>
      </c>
      <c r="BB60" s="211">
        <f t="shared" si="22"/>
        <v>0</v>
      </c>
      <c r="BC60" s="212">
        <f t="shared" si="31"/>
        <v>0</v>
      </c>
      <c r="BD60" s="212">
        <f t="shared" si="24"/>
        <v>0</v>
      </c>
      <c r="BE60" s="212">
        <f t="shared" si="25"/>
        <v>0</v>
      </c>
      <c r="BF60" s="212">
        <f t="shared" si="26"/>
        <v>0</v>
      </c>
      <c r="BG60" s="212">
        <f t="shared" si="27"/>
        <v>0</v>
      </c>
      <c r="BH60" s="234">
        <f t="shared" si="6"/>
        <v>0</v>
      </c>
      <c r="BI60" s="209"/>
      <c r="BJ60" s="209">
        <f t="shared" si="28"/>
        <v>0</v>
      </c>
      <c r="BK60" s="235">
        <f t="shared" si="8"/>
        <v>0</v>
      </c>
      <c r="BL60" s="273">
        <f t="shared" si="21"/>
        <v>24</v>
      </c>
      <c r="BM60" s="201"/>
      <c r="BN60" s="201"/>
      <c r="BO60" s="201"/>
      <c r="BP60" s="201"/>
      <c r="BQ60" s="201"/>
      <c r="BR60" s="201"/>
      <c r="BS60" s="201"/>
      <c r="BT60" s="201"/>
      <c r="BU60" s="201"/>
      <c r="BV60" s="201"/>
      <c r="BW60" s="201"/>
      <c r="BX60" s="201"/>
      <c r="BY60" s="201"/>
      <c r="BZ60" s="201"/>
      <c r="CA60" s="201"/>
      <c r="CB60" s="201"/>
      <c r="CC60" s="201"/>
      <c r="CD60" s="201"/>
      <c r="CE60" s="201"/>
      <c r="CF60" s="201"/>
      <c r="CG60" s="201"/>
      <c r="CH60" s="201"/>
      <c r="CI60" s="201"/>
      <c r="CJ60" s="201"/>
      <c r="CK60" s="201"/>
    </row>
    <row r="61" spans="1:89" s="63" customFormat="1" ht="22.8">
      <c r="A61" s="249">
        <v>44</v>
      </c>
      <c r="B61" s="191" t="s">
        <v>24</v>
      </c>
      <c r="C61" s="164">
        <v>8267</v>
      </c>
      <c r="D61" s="165" t="s">
        <v>68</v>
      </c>
      <c r="E61" s="185" t="s">
        <v>38</v>
      </c>
      <c r="F61" s="167">
        <v>1</v>
      </c>
      <c r="G61" s="168">
        <v>1</v>
      </c>
      <c r="H61" s="168">
        <v>1</v>
      </c>
      <c r="I61" s="168">
        <v>1</v>
      </c>
      <c r="J61" s="168">
        <v>1</v>
      </c>
      <c r="K61" s="168">
        <v>1</v>
      </c>
      <c r="L61" s="168" t="s">
        <v>29</v>
      </c>
      <c r="M61" s="168" t="s">
        <v>29</v>
      </c>
      <c r="N61" s="168">
        <v>1</v>
      </c>
      <c r="O61" s="168" t="s">
        <v>29</v>
      </c>
      <c r="P61" s="168" t="s">
        <v>29</v>
      </c>
      <c r="Q61" s="168" t="s">
        <v>29</v>
      </c>
      <c r="R61" s="168" t="s">
        <v>29</v>
      </c>
      <c r="S61" s="168" t="s">
        <v>29</v>
      </c>
      <c r="T61" s="168" t="s">
        <v>29</v>
      </c>
      <c r="U61" s="168">
        <v>1</v>
      </c>
      <c r="V61" s="168">
        <v>1</v>
      </c>
      <c r="W61" s="168"/>
      <c r="X61" s="168"/>
      <c r="Y61" s="168"/>
      <c r="Z61" s="168"/>
      <c r="AA61" s="168"/>
      <c r="AB61" s="168"/>
      <c r="AC61" s="168">
        <v>1</v>
      </c>
      <c r="AD61" s="168">
        <v>1</v>
      </c>
      <c r="AE61" s="168">
        <v>1</v>
      </c>
      <c r="AF61" s="168">
        <v>1</v>
      </c>
      <c r="AG61" s="168" t="s">
        <v>29</v>
      </c>
      <c r="AH61" s="168">
        <v>1</v>
      </c>
      <c r="AI61" s="168" t="s">
        <v>29</v>
      </c>
      <c r="AJ61" s="169"/>
      <c r="AK61" s="264">
        <f t="shared" si="9"/>
        <v>14</v>
      </c>
      <c r="AL61" s="265">
        <f t="shared" si="10"/>
        <v>0</v>
      </c>
      <c r="AM61" s="266">
        <f t="shared" si="11"/>
        <v>0</v>
      </c>
      <c r="AN61" s="266"/>
      <c r="AO61" s="266">
        <f t="shared" si="12"/>
        <v>0</v>
      </c>
      <c r="AP61" s="266"/>
      <c r="AQ61" s="266">
        <f t="shared" si="13"/>
        <v>0</v>
      </c>
      <c r="AR61" s="266">
        <f t="shared" si="14"/>
        <v>0</v>
      </c>
      <c r="AS61" s="266"/>
      <c r="AT61" s="266">
        <f t="shared" si="15"/>
        <v>0</v>
      </c>
      <c r="AU61" s="266">
        <f t="shared" si="16"/>
        <v>0</v>
      </c>
      <c r="AV61" s="266">
        <f t="shared" si="17"/>
        <v>10</v>
      </c>
      <c r="AW61" s="207"/>
      <c r="AX61" s="207"/>
      <c r="AY61" s="209">
        <f t="shared" si="29"/>
        <v>24</v>
      </c>
      <c r="AZ61" s="210">
        <f t="shared" si="30"/>
        <v>0</v>
      </c>
      <c r="BA61" s="268">
        <f t="shared" si="20"/>
        <v>24</v>
      </c>
      <c r="BB61" s="211">
        <f t="shared" si="22"/>
        <v>0</v>
      </c>
      <c r="BC61" s="212">
        <f t="shared" si="31"/>
        <v>0</v>
      </c>
      <c r="BD61" s="212">
        <f t="shared" si="24"/>
        <v>0</v>
      </c>
      <c r="BE61" s="212">
        <f t="shared" si="25"/>
        <v>0</v>
      </c>
      <c r="BF61" s="212">
        <f t="shared" si="26"/>
        <v>0</v>
      </c>
      <c r="BG61" s="212">
        <f t="shared" si="27"/>
        <v>0</v>
      </c>
      <c r="BH61" s="234">
        <f t="shared" si="6"/>
        <v>0</v>
      </c>
      <c r="BI61" s="209"/>
      <c r="BJ61" s="209">
        <f t="shared" si="28"/>
        <v>0</v>
      </c>
      <c r="BK61" s="235">
        <f t="shared" si="8"/>
        <v>0</v>
      </c>
      <c r="BL61" s="273">
        <f t="shared" si="21"/>
        <v>24</v>
      </c>
      <c r="BM61" s="201"/>
      <c r="BN61" s="201"/>
      <c r="BO61" s="201"/>
      <c r="BP61" s="201"/>
      <c r="BQ61" s="201"/>
      <c r="BR61" s="201"/>
      <c r="BS61" s="201"/>
      <c r="BT61" s="201"/>
      <c r="BU61" s="201"/>
      <c r="BV61" s="201"/>
      <c r="BW61" s="201"/>
      <c r="BX61" s="201"/>
      <c r="BY61" s="201"/>
      <c r="BZ61" s="201"/>
      <c r="CA61" s="201"/>
      <c r="CB61" s="201"/>
      <c r="CC61" s="201"/>
      <c r="CD61" s="201"/>
      <c r="CE61" s="201"/>
      <c r="CF61" s="201"/>
      <c r="CG61" s="201"/>
      <c r="CH61" s="201"/>
      <c r="CI61" s="201"/>
      <c r="CJ61" s="201"/>
      <c r="CK61" s="201"/>
    </row>
    <row r="62" spans="1:89" s="63" customFormat="1" ht="22.8">
      <c r="A62" s="228">
        <v>45</v>
      </c>
      <c r="B62" s="191" t="s">
        <v>24</v>
      </c>
      <c r="C62" s="164">
        <v>8273</v>
      </c>
      <c r="D62" s="165" t="s">
        <v>61</v>
      </c>
      <c r="E62" s="185" t="s">
        <v>38</v>
      </c>
      <c r="F62" s="167" t="s">
        <v>29</v>
      </c>
      <c r="G62" s="168" t="s">
        <v>29</v>
      </c>
      <c r="H62" s="168" t="s">
        <v>29</v>
      </c>
      <c r="I62" s="168" t="s">
        <v>29</v>
      </c>
      <c r="J62" s="168" t="s">
        <v>29</v>
      </c>
      <c r="K62" s="168" t="s">
        <v>29</v>
      </c>
      <c r="L62" s="168"/>
      <c r="M62" s="168" t="s">
        <v>29</v>
      </c>
      <c r="N62" s="168" t="s">
        <v>29</v>
      </c>
      <c r="O62" s="168" t="s">
        <v>29</v>
      </c>
      <c r="P62" s="168" t="s">
        <v>29</v>
      </c>
      <c r="Q62" s="168" t="s">
        <v>29</v>
      </c>
      <c r="R62" s="168" t="s">
        <v>29</v>
      </c>
      <c r="S62" s="168"/>
      <c r="T62" s="168" t="s">
        <v>29</v>
      </c>
      <c r="U62" s="168" t="s">
        <v>29</v>
      </c>
      <c r="V62" s="168" t="s">
        <v>29</v>
      </c>
      <c r="W62" s="168" t="s">
        <v>29</v>
      </c>
      <c r="X62" s="168" t="s">
        <v>29</v>
      </c>
      <c r="Y62" s="168" t="s">
        <v>29</v>
      </c>
      <c r="Z62" s="168"/>
      <c r="AA62" s="168" t="s">
        <v>29</v>
      </c>
      <c r="AB62" s="168" t="s">
        <v>29</v>
      </c>
      <c r="AC62" s="168" t="s">
        <v>29</v>
      </c>
      <c r="AD62" s="168" t="s">
        <v>29</v>
      </c>
      <c r="AE62" s="168" t="s">
        <v>29</v>
      </c>
      <c r="AF62" s="168" t="s">
        <v>29</v>
      </c>
      <c r="AG62" s="168"/>
      <c r="AH62" s="168" t="s">
        <v>29</v>
      </c>
      <c r="AI62" s="168" t="s">
        <v>29</v>
      </c>
      <c r="AJ62" s="169"/>
      <c r="AK62" s="264">
        <f t="shared" si="9"/>
        <v>0</v>
      </c>
      <c r="AL62" s="265">
        <f t="shared" si="10"/>
        <v>0</v>
      </c>
      <c r="AM62" s="266">
        <f t="shared" si="11"/>
        <v>0</v>
      </c>
      <c r="AN62" s="266"/>
      <c r="AO62" s="266">
        <f t="shared" si="12"/>
        <v>0</v>
      </c>
      <c r="AP62" s="266"/>
      <c r="AQ62" s="266">
        <f t="shared" si="13"/>
        <v>0</v>
      </c>
      <c r="AR62" s="266">
        <f t="shared" si="14"/>
        <v>0</v>
      </c>
      <c r="AS62" s="266"/>
      <c r="AT62" s="266">
        <f t="shared" si="15"/>
        <v>0</v>
      </c>
      <c r="AU62" s="266">
        <f t="shared" si="16"/>
        <v>0</v>
      </c>
      <c r="AV62" s="266">
        <f t="shared" si="17"/>
        <v>26</v>
      </c>
      <c r="AW62" s="207"/>
      <c r="AX62" s="207"/>
      <c r="AY62" s="209">
        <f t="shared" si="29"/>
        <v>26</v>
      </c>
      <c r="AZ62" s="210">
        <f t="shared" si="30"/>
        <v>0</v>
      </c>
      <c r="BA62" s="268">
        <f t="shared" si="20"/>
        <v>26</v>
      </c>
      <c r="BB62" s="211">
        <f t="shared" si="22"/>
        <v>0</v>
      </c>
      <c r="BC62" s="212">
        <f t="shared" si="31"/>
        <v>0</v>
      </c>
      <c r="BD62" s="212">
        <f t="shared" si="24"/>
        <v>0</v>
      </c>
      <c r="BE62" s="212">
        <f t="shared" si="25"/>
        <v>0</v>
      </c>
      <c r="BF62" s="212">
        <f t="shared" si="26"/>
        <v>0</v>
      </c>
      <c r="BG62" s="212">
        <f t="shared" si="27"/>
        <v>0</v>
      </c>
      <c r="BH62" s="234">
        <f t="shared" si="6"/>
        <v>0</v>
      </c>
      <c r="BI62" s="209"/>
      <c r="BJ62" s="209">
        <f t="shared" si="28"/>
        <v>0</v>
      </c>
      <c r="BK62" s="235">
        <f t="shared" si="8"/>
        <v>0</v>
      </c>
      <c r="BL62" s="273">
        <f t="shared" si="21"/>
        <v>26</v>
      </c>
      <c r="BM62" s="201"/>
      <c r="BN62" s="201"/>
      <c r="BO62" s="201"/>
      <c r="BP62" s="201"/>
      <c r="BQ62" s="201"/>
      <c r="BR62" s="201"/>
      <c r="BS62" s="201"/>
      <c r="BT62" s="201"/>
      <c r="BU62" s="201"/>
      <c r="BV62" s="201"/>
      <c r="BW62" s="201"/>
      <c r="BX62" s="201"/>
      <c r="BY62" s="201"/>
      <c r="BZ62" s="201"/>
      <c r="CA62" s="201"/>
      <c r="CB62" s="201"/>
      <c r="CC62" s="201"/>
      <c r="CD62" s="201"/>
      <c r="CE62" s="201"/>
      <c r="CF62" s="201"/>
      <c r="CG62" s="201"/>
      <c r="CH62" s="201"/>
      <c r="CI62" s="201"/>
      <c r="CJ62" s="201"/>
      <c r="CK62" s="201"/>
    </row>
    <row r="63" spans="1:89" s="63" customFormat="1" ht="22.8">
      <c r="A63" s="228"/>
      <c r="B63" s="191" t="s">
        <v>24</v>
      </c>
      <c r="C63" s="164">
        <v>8274</v>
      </c>
      <c r="D63" s="165" t="s">
        <v>65</v>
      </c>
      <c r="E63" s="185" t="s">
        <v>38</v>
      </c>
      <c r="F63" s="167" t="s">
        <v>29</v>
      </c>
      <c r="G63" s="168" t="s">
        <v>29</v>
      </c>
      <c r="H63" s="168" t="s">
        <v>29</v>
      </c>
      <c r="I63" s="168" t="s">
        <v>29</v>
      </c>
      <c r="J63" s="168" t="s">
        <v>29</v>
      </c>
      <c r="K63" s="168" t="s">
        <v>29</v>
      </c>
      <c r="L63" s="168"/>
      <c r="M63" s="168" t="s">
        <v>29</v>
      </c>
      <c r="N63" s="168" t="s">
        <v>29</v>
      </c>
      <c r="O63" s="168" t="s">
        <v>29</v>
      </c>
      <c r="P63" s="168" t="s">
        <v>29</v>
      </c>
      <c r="Q63" s="168" t="s">
        <v>29</v>
      </c>
      <c r="R63" s="168" t="s">
        <v>29</v>
      </c>
      <c r="S63" s="168"/>
      <c r="T63" s="168" t="s">
        <v>29</v>
      </c>
      <c r="U63" s="168" t="s">
        <v>29</v>
      </c>
      <c r="V63" s="168" t="s">
        <v>29</v>
      </c>
      <c r="W63" s="168" t="s">
        <v>29</v>
      </c>
      <c r="X63" s="168" t="s">
        <v>29</v>
      </c>
      <c r="Y63" s="168" t="s">
        <v>29</v>
      </c>
      <c r="Z63" s="168"/>
      <c r="AA63" s="168" t="s">
        <v>29</v>
      </c>
      <c r="AB63" s="168" t="s">
        <v>29</v>
      </c>
      <c r="AC63" s="168" t="s">
        <v>29</v>
      </c>
      <c r="AD63" s="168" t="s">
        <v>29</v>
      </c>
      <c r="AE63" s="168" t="s">
        <v>29</v>
      </c>
      <c r="AF63" s="168" t="s">
        <v>29</v>
      </c>
      <c r="AG63" s="168"/>
      <c r="AH63" s="168" t="s">
        <v>29</v>
      </c>
      <c r="AI63" s="168" t="s">
        <v>29</v>
      </c>
      <c r="AJ63" s="169"/>
      <c r="AK63" s="264">
        <f t="shared" si="9"/>
        <v>0</v>
      </c>
      <c r="AL63" s="265">
        <f t="shared" si="10"/>
        <v>0</v>
      </c>
      <c r="AM63" s="266">
        <f t="shared" si="11"/>
        <v>0</v>
      </c>
      <c r="AN63" s="266"/>
      <c r="AO63" s="266">
        <f t="shared" si="12"/>
        <v>0</v>
      </c>
      <c r="AP63" s="266"/>
      <c r="AQ63" s="266">
        <f t="shared" si="13"/>
        <v>0</v>
      </c>
      <c r="AR63" s="266">
        <f t="shared" si="14"/>
        <v>0</v>
      </c>
      <c r="AS63" s="266"/>
      <c r="AT63" s="266">
        <f t="shared" si="15"/>
        <v>0</v>
      </c>
      <c r="AU63" s="266">
        <f t="shared" si="16"/>
        <v>0</v>
      </c>
      <c r="AV63" s="266">
        <f t="shared" si="17"/>
        <v>26</v>
      </c>
      <c r="AW63" s="207"/>
      <c r="AX63" s="207"/>
      <c r="AY63" s="209">
        <f t="shared" si="29"/>
        <v>26</v>
      </c>
      <c r="AZ63" s="210">
        <f t="shared" si="30"/>
        <v>0</v>
      </c>
      <c r="BA63" s="268">
        <f t="shared" si="20"/>
        <v>26</v>
      </c>
      <c r="BB63" s="211"/>
      <c r="BC63" s="212"/>
      <c r="BD63" s="212"/>
      <c r="BE63" s="212"/>
      <c r="BF63" s="212"/>
      <c r="BG63" s="212"/>
      <c r="BH63" s="234"/>
      <c r="BI63" s="209"/>
      <c r="BJ63" s="209"/>
      <c r="BK63" s="235"/>
      <c r="BL63" s="273">
        <f t="shared" si="21"/>
        <v>26</v>
      </c>
      <c r="BM63" s="201"/>
      <c r="BN63" s="201"/>
      <c r="BO63" s="201"/>
      <c r="BP63" s="201"/>
      <c r="BQ63" s="201"/>
      <c r="BR63" s="201"/>
      <c r="BS63" s="201"/>
      <c r="BT63" s="201"/>
      <c r="BU63" s="201"/>
      <c r="BV63" s="201"/>
      <c r="BW63" s="201"/>
      <c r="BX63" s="201"/>
      <c r="BY63" s="201"/>
      <c r="BZ63" s="201"/>
      <c r="CA63" s="201"/>
      <c r="CB63" s="201"/>
      <c r="CC63" s="201"/>
      <c r="CD63" s="201"/>
      <c r="CE63" s="201"/>
      <c r="CF63" s="201"/>
      <c r="CG63" s="201"/>
      <c r="CH63" s="201"/>
      <c r="CI63" s="201"/>
      <c r="CJ63" s="201"/>
      <c r="CK63" s="201"/>
    </row>
    <row r="64" spans="1:89" s="63" customFormat="1" ht="22.8">
      <c r="A64" s="228"/>
      <c r="B64" s="191" t="s">
        <v>24</v>
      </c>
      <c r="C64" s="164">
        <v>8279</v>
      </c>
      <c r="D64" s="165" t="s">
        <v>59</v>
      </c>
      <c r="E64" s="185" t="s">
        <v>38</v>
      </c>
      <c r="F64" s="167" t="s">
        <v>29</v>
      </c>
      <c r="G64" s="168" t="s">
        <v>29</v>
      </c>
      <c r="H64" s="168" t="s">
        <v>29</v>
      </c>
      <c r="I64" s="168" t="s">
        <v>29</v>
      </c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 t="s">
        <v>29</v>
      </c>
      <c r="U64" s="168" t="s">
        <v>29</v>
      </c>
      <c r="V64" s="168" t="s">
        <v>29</v>
      </c>
      <c r="W64" s="168" t="s">
        <v>29</v>
      </c>
      <c r="X64" s="168" t="s">
        <v>29</v>
      </c>
      <c r="Y64" s="168" t="s">
        <v>29</v>
      </c>
      <c r="Z64" s="168"/>
      <c r="AA64" s="168" t="s">
        <v>29</v>
      </c>
      <c r="AB64" s="168" t="s">
        <v>29</v>
      </c>
      <c r="AC64" s="168"/>
      <c r="AD64" s="168" t="s">
        <v>29</v>
      </c>
      <c r="AE64" s="168" t="s">
        <v>29</v>
      </c>
      <c r="AF64" s="168"/>
      <c r="AG64" s="168"/>
      <c r="AH64" s="168" t="s">
        <v>29</v>
      </c>
      <c r="AI64" s="168" t="s">
        <v>29</v>
      </c>
      <c r="AJ64" s="169"/>
      <c r="AK64" s="264">
        <f t="shared" si="9"/>
        <v>0</v>
      </c>
      <c r="AL64" s="265">
        <f t="shared" si="10"/>
        <v>0</v>
      </c>
      <c r="AM64" s="266">
        <f t="shared" si="11"/>
        <v>0</v>
      </c>
      <c r="AN64" s="266"/>
      <c r="AO64" s="266">
        <f t="shared" si="12"/>
        <v>0</v>
      </c>
      <c r="AP64" s="266"/>
      <c r="AQ64" s="266">
        <f t="shared" si="13"/>
        <v>0</v>
      </c>
      <c r="AR64" s="266">
        <f t="shared" si="14"/>
        <v>0</v>
      </c>
      <c r="AS64" s="266"/>
      <c r="AT64" s="266">
        <f t="shared" si="15"/>
        <v>0</v>
      </c>
      <c r="AU64" s="266">
        <f t="shared" si="16"/>
        <v>0</v>
      </c>
      <c r="AV64" s="266">
        <f t="shared" si="17"/>
        <v>16</v>
      </c>
      <c r="AW64" s="207"/>
      <c r="AX64" s="207"/>
      <c r="AY64" s="209">
        <f t="shared" si="29"/>
        <v>16</v>
      </c>
      <c r="AZ64" s="210">
        <f t="shared" si="30"/>
        <v>0</v>
      </c>
      <c r="BA64" s="268">
        <f t="shared" si="20"/>
        <v>16</v>
      </c>
      <c r="BB64" s="211"/>
      <c r="BC64" s="212"/>
      <c r="BD64" s="212"/>
      <c r="BE64" s="212"/>
      <c r="BF64" s="212"/>
      <c r="BG64" s="212"/>
      <c r="BH64" s="234"/>
      <c r="BI64" s="209"/>
      <c r="BJ64" s="209"/>
      <c r="BK64" s="235"/>
      <c r="BL64" s="273">
        <f t="shared" si="21"/>
        <v>16</v>
      </c>
      <c r="BM64" s="201"/>
      <c r="BN64" s="201"/>
      <c r="BO64" s="201"/>
      <c r="BP64" s="201"/>
      <c r="BQ64" s="201"/>
      <c r="BR64" s="201"/>
      <c r="BS64" s="201"/>
      <c r="BT64" s="201"/>
      <c r="BU64" s="201"/>
      <c r="BV64" s="201"/>
      <c r="BW64" s="201"/>
      <c r="BX64" s="201"/>
      <c r="BY64" s="201"/>
      <c r="BZ64" s="201"/>
      <c r="CA64" s="201"/>
      <c r="CB64" s="201"/>
      <c r="CC64" s="201"/>
      <c r="CD64" s="201"/>
      <c r="CE64" s="201"/>
      <c r="CF64" s="201"/>
      <c r="CG64" s="201"/>
      <c r="CH64" s="201"/>
      <c r="CI64" s="201"/>
      <c r="CJ64" s="201"/>
      <c r="CK64" s="201"/>
    </row>
    <row r="65" spans="1:89" s="63" customFormat="1" ht="36">
      <c r="A65" s="228"/>
      <c r="B65" s="191" t="s">
        <v>24</v>
      </c>
      <c r="C65" s="164">
        <v>8281</v>
      </c>
      <c r="D65" s="165" t="s">
        <v>55</v>
      </c>
      <c r="E65" s="185" t="s">
        <v>38</v>
      </c>
      <c r="F65" s="167" t="s">
        <v>193</v>
      </c>
      <c r="G65" s="168" t="s">
        <v>193</v>
      </c>
      <c r="H65" s="168"/>
      <c r="I65" s="168">
        <v>1</v>
      </c>
      <c r="J65" s="168" t="s">
        <v>29</v>
      </c>
      <c r="K65" s="168" t="s">
        <v>193</v>
      </c>
      <c r="L65" s="168" t="s">
        <v>29</v>
      </c>
      <c r="M65" s="168" t="s">
        <v>30</v>
      </c>
      <c r="N65" s="168" t="s">
        <v>193</v>
      </c>
      <c r="O65" s="168">
        <v>1</v>
      </c>
      <c r="P65" s="168" t="s">
        <v>193</v>
      </c>
      <c r="Q65" s="168"/>
      <c r="R65" s="168">
        <v>1</v>
      </c>
      <c r="S65" s="168" t="s">
        <v>27</v>
      </c>
      <c r="T65" s="168" t="s">
        <v>30</v>
      </c>
      <c r="U65" s="168"/>
      <c r="V65" s="168"/>
      <c r="W65" s="168" t="s">
        <v>193</v>
      </c>
      <c r="X65" s="168" t="s">
        <v>193</v>
      </c>
      <c r="Y65" s="168">
        <v>2</v>
      </c>
      <c r="Z65" s="168" t="s">
        <v>32</v>
      </c>
      <c r="AA65" s="168">
        <v>2</v>
      </c>
      <c r="AB65" s="168">
        <v>2</v>
      </c>
      <c r="AC65" s="168"/>
      <c r="AD65" s="168" t="s">
        <v>193</v>
      </c>
      <c r="AE65" s="168">
        <v>2</v>
      </c>
      <c r="AF65" s="168"/>
      <c r="AG65" s="168" t="s">
        <v>32</v>
      </c>
      <c r="AH65" s="168" t="s">
        <v>193</v>
      </c>
      <c r="AI65" s="168" t="s">
        <v>35</v>
      </c>
      <c r="AJ65" s="169"/>
      <c r="AK65" s="264">
        <f t="shared" si="9"/>
        <v>4</v>
      </c>
      <c r="AL65" s="265">
        <f t="shared" si="10"/>
        <v>0</v>
      </c>
      <c r="AM65" s="266">
        <f t="shared" si="11"/>
        <v>5.5</v>
      </c>
      <c r="AN65" s="266"/>
      <c r="AO65" s="266">
        <f t="shared" si="12"/>
        <v>0</v>
      </c>
      <c r="AP65" s="266"/>
      <c r="AQ65" s="266">
        <f t="shared" si="13"/>
        <v>6</v>
      </c>
      <c r="AR65" s="266">
        <f t="shared" si="14"/>
        <v>6</v>
      </c>
      <c r="AS65" s="266"/>
      <c r="AT65" s="266">
        <f t="shared" si="15"/>
        <v>0</v>
      </c>
      <c r="AU65" s="266">
        <f t="shared" si="16"/>
        <v>1.5</v>
      </c>
      <c r="AV65" s="266">
        <f t="shared" si="17"/>
        <v>2</v>
      </c>
      <c r="AW65" s="207"/>
      <c r="AX65" s="207"/>
      <c r="AY65" s="209">
        <f t="shared" si="29"/>
        <v>25</v>
      </c>
      <c r="AZ65" s="210">
        <f t="shared" si="30"/>
        <v>0</v>
      </c>
      <c r="BA65" s="268">
        <f t="shared" si="20"/>
        <v>25</v>
      </c>
      <c r="BB65" s="211"/>
      <c r="BC65" s="212"/>
      <c r="BD65" s="212"/>
      <c r="BE65" s="212"/>
      <c r="BF65" s="212"/>
      <c r="BG65" s="212"/>
      <c r="BH65" s="234"/>
      <c r="BI65" s="209"/>
      <c r="BJ65" s="209"/>
      <c r="BK65" s="235"/>
      <c r="BL65" s="273">
        <f t="shared" si="21"/>
        <v>25</v>
      </c>
      <c r="BM65" s="201"/>
      <c r="BN65" s="201"/>
      <c r="BO65" s="201"/>
      <c r="BP65" s="201"/>
      <c r="BQ65" s="201"/>
      <c r="BR65" s="201"/>
      <c r="BS65" s="201"/>
      <c r="BT65" s="201"/>
      <c r="BU65" s="201"/>
      <c r="BV65" s="201"/>
      <c r="BW65" s="201"/>
      <c r="BX65" s="201"/>
      <c r="BY65" s="201"/>
      <c r="BZ65" s="201"/>
      <c r="CA65" s="201"/>
      <c r="CB65" s="201"/>
      <c r="CC65" s="201"/>
      <c r="CD65" s="201"/>
      <c r="CE65" s="201"/>
      <c r="CF65" s="201"/>
      <c r="CG65" s="201"/>
      <c r="CH65" s="201"/>
      <c r="CI65" s="201"/>
      <c r="CJ65" s="201"/>
      <c r="CK65" s="201"/>
    </row>
    <row r="66" spans="1:89" s="63" customFormat="1" ht="36">
      <c r="A66" s="228"/>
      <c r="B66" s="191" t="s">
        <v>24</v>
      </c>
      <c r="C66" s="164">
        <v>8283</v>
      </c>
      <c r="D66" s="165" t="s">
        <v>56</v>
      </c>
      <c r="E66" s="185" t="s">
        <v>38</v>
      </c>
      <c r="F66" s="167">
        <v>3</v>
      </c>
      <c r="G66" s="168" t="s">
        <v>34</v>
      </c>
      <c r="H66" s="168" t="s">
        <v>34</v>
      </c>
      <c r="I66" s="168">
        <v>3</v>
      </c>
      <c r="J66" s="168" t="s">
        <v>34</v>
      </c>
      <c r="K66" s="168" t="s">
        <v>34</v>
      </c>
      <c r="L66" s="168" t="s">
        <v>34</v>
      </c>
      <c r="M66" s="168" t="s">
        <v>34</v>
      </c>
      <c r="N66" s="168" t="s">
        <v>34</v>
      </c>
      <c r="O66" s="168">
        <v>3</v>
      </c>
      <c r="P66" s="168">
        <v>3</v>
      </c>
      <c r="Q66" s="168"/>
      <c r="R66" s="168" t="s">
        <v>30</v>
      </c>
      <c r="S66" s="168" t="s">
        <v>32</v>
      </c>
      <c r="T66" s="168">
        <v>2</v>
      </c>
      <c r="U66" s="168">
        <v>2</v>
      </c>
      <c r="V66" s="168">
        <v>2</v>
      </c>
      <c r="W66" s="168">
        <v>2</v>
      </c>
      <c r="X66" s="168">
        <v>2</v>
      </c>
      <c r="Y66" s="168" t="s">
        <v>30</v>
      </c>
      <c r="Z66" s="168" t="s">
        <v>32</v>
      </c>
      <c r="AA66" s="168">
        <v>2</v>
      </c>
      <c r="AB66" s="168" t="s">
        <v>30</v>
      </c>
      <c r="AC66" s="168"/>
      <c r="AD66" s="168"/>
      <c r="AE66" s="168"/>
      <c r="AF66" s="168" t="s">
        <v>29</v>
      </c>
      <c r="AG66" s="168" t="s">
        <v>32</v>
      </c>
      <c r="AH66" s="168" t="s">
        <v>30</v>
      </c>
      <c r="AI66" s="168">
        <v>2</v>
      </c>
      <c r="AJ66" s="169"/>
      <c r="AK66" s="264">
        <f t="shared" si="9"/>
        <v>0</v>
      </c>
      <c r="AL66" s="265">
        <f t="shared" si="10"/>
        <v>0</v>
      </c>
      <c r="AM66" s="266">
        <f t="shared" si="11"/>
        <v>1.5</v>
      </c>
      <c r="AN66" s="266"/>
      <c r="AO66" s="266">
        <f t="shared" si="12"/>
        <v>0</v>
      </c>
      <c r="AP66" s="266"/>
      <c r="AQ66" s="266">
        <f t="shared" si="13"/>
        <v>10</v>
      </c>
      <c r="AR66" s="266">
        <f t="shared" si="14"/>
        <v>2</v>
      </c>
      <c r="AS66" s="266"/>
      <c r="AT66" s="266">
        <f t="shared" si="15"/>
        <v>0</v>
      </c>
      <c r="AU66" s="266">
        <f t="shared" si="16"/>
        <v>5.5</v>
      </c>
      <c r="AV66" s="266">
        <f t="shared" si="17"/>
        <v>1</v>
      </c>
      <c r="AW66" s="207"/>
      <c r="AX66" s="207"/>
      <c r="AY66" s="209">
        <f t="shared" si="29"/>
        <v>20</v>
      </c>
      <c r="AZ66" s="210">
        <f t="shared" si="30"/>
        <v>11</v>
      </c>
      <c r="BA66" s="268">
        <f t="shared" si="20"/>
        <v>31</v>
      </c>
      <c r="BB66" s="211"/>
      <c r="BC66" s="212"/>
      <c r="BD66" s="212"/>
      <c r="BE66" s="212"/>
      <c r="BF66" s="212"/>
      <c r="BG66" s="212"/>
      <c r="BH66" s="234"/>
      <c r="BI66" s="209"/>
      <c r="BJ66" s="209"/>
      <c r="BK66" s="235"/>
      <c r="BL66" s="273">
        <f t="shared" si="21"/>
        <v>31</v>
      </c>
      <c r="BM66" s="201"/>
      <c r="BN66" s="201"/>
      <c r="BO66" s="201"/>
      <c r="BP66" s="201"/>
      <c r="BQ66" s="201"/>
      <c r="BR66" s="201"/>
      <c r="BS66" s="201"/>
      <c r="BT66" s="201"/>
      <c r="BU66" s="201"/>
      <c r="BV66" s="201"/>
      <c r="BW66" s="201"/>
      <c r="BX66" s="201"/>
      <c r="BY66" s="201"/>
      <c r="BZ66" s="201"/>
      <c r="CA66" s="201"/>
      <c r="CB66" s="201"/>
      <c r="CC66" s="201"/>
      <c r="CD66" s="201"/>
      <c r="CE66" s="201"/>
      <c r="CF66" s="201"/>
      <c r="CG66" s="201"/>
      <c r="CH66" s="201"/>
      <c r="CI66" s="201"/>
      <c r="CJ66" s="201"/>
      <c r="CK66" s="201"/>
    </row>
    <row r="67" spans="1:89" s="63" customFormat="1" ht="22.8">
      <c r="A67" s="228"/>
      <c r="B67" s="191" t="s">
        <v>24</v>
      </c>
      <c r="C67" s="164">
        <v>8288</v>
      </c>
      <c r="D67" s="165" t="s">
        <v>64</v>
      </c>
      <c r="E67" s="185" t="s">
        <v>38</v>
      </c>
      <c r="F67" s="167" t="s">
        <v>29</v>
      </c>
      <c r="G67" s="168" t="s">
        <v>29</v>
      </c>
      <c r="H67" s="168" t="s">
        <v>29</v>
      </c>
      <c r="I67" s="168" t="s">
        <v>29</v>
      </c>
      <c r="J67" s="168" t="s">
        <v>29</v>
      </c>
      <c r="K67" s="168" t="s">
        <v>29</v>
      </c>
      <c r="L67" s="168"/>
      <c r="M67" s="168" t="s">
        <v>29</v>
      </c>
      <c r="N67" s="168" t="s">
        <v>29</v>
      </c>
      <c r="O67" s="168" t="s">
        <v>29</v>
      </c>
      <c r="P67" s="168" t="s">
        <v>29</v>
      </c>
      <c r="Q67" s="168" t="s">
        <v>29</v>
      </c>
      <c r="R67" s="168" t="s">
        <v>29</v>
      </c>
      <c r="S67" s="168"/>
      <c r="T67" s="168" t="s">
        <v>29</v>
      </c>
      <c r="U67" s="168" t="s">
        <v>29</v>
      </c>
      <c r="V67" s="168" t="s">
        <v>29</v>
      </c>
      <c r="W67" s="168" t="s">
        <v>29</v>
      </c>
      <c r="X67" s="168" t="s">
        <v>29</v>
      </c>
      <c r="Y67" s="168" t="s">
        <v>29</v>
      </c>
      <c r="Z67" s="168"/>
      <c r="AA67" s="168" t="s">
        <v>29</v>
      </c>
      <c r="AB67" s="168" t="s">
        <v>29</v>
      </c>
      <c r="AC67" s="168" t="s">
        <v>29</v>
      </c>
      <c r="AD67" s="168" t="s">
        <v>29</v>
      </c>
      <c r="AE67" s="168" t="s">
        <v>29</v>
      </c>
      <c r="AF67" s="168" t="s">
        <v>29</v>
      </c>
      <c r="AG67" s="168"/>
      <c r="AH67" s="168" t="s">
        <v>29</v>
      </c>
      <c r="AI67" s="168" t="s">
        <v>29</v>
      </c>
      <c r="AJ67" s="169"/>
      <c r="AK67" s="264">
        <f t="shared" si="9"/>
        <v>0</v>
      </c>
      <c r="AL67" s="265">
        <f t="shared" si="10"/>
        <v>0</v>
      </c>
      <c r="AM67" s="266">
        <f t="shared" si="11"/>
        <v>0</v>
      </c>
      <c r="AN67" s="266"/>
      <c r="AO67" s="266">
        <f t="shared" si="12"/>
        <v>0</v>
      </c>
      <c r="AP67" s="266"/>
      <c r="AQ67" s="266">
        <f t="shared" si="13"/>
        <v>0</v>
      </c>
      <c r="AR67" s="266">
        <f t="shared" si="14"/>
        <v>0</v>
      </c>
      <c r="AS67" s="266"/>
      <c r="AT67" s="266">
        <f t="shared" si="15"/>
        <v>0</v>
      </c>
      <c r="AU67" s="266">
        <f t="shared" si="16"/>
        <v>0</v>
      </c>
      <c r="AV67" s="266">
        <f t="shared" si="17"/>
        <v>26</v>
      </c>
      <c r="AW67" s="207"/>
      <c r="AX67" s="207"/>
      <c r="AY67" s="209">
        <f t="shared" si="29"/>
        <v>26</v>
      </c>
      <c r="AZ67" s="210">
        <f t="shared" si="30"/>
        <v>0</v>
      </c>
      <c r="BA67" s="268">
        <f t="shared" si="20"/>
        <v>26</v>
      </c>
      <c r="BB67" s="211"/>
      <c r="BC67" s="212"/>
      <c r="BD67" s="212"/>
      <c r="BE67" s="212"/>
      <c r="BF67" s="212"/>
      <c r="BG67" s="212"/>
      <c r="BH67" s="234"/>
      <c r="BI67" s="209"/>
      <c r="BJ67" s="209"/>
      <c r="BK67" s="235"/>
      <c r="BL67" s="273">
        <f t="shared" si="21"/>
        <v>26</v>
      </c>
      <c r="BM67" s="201"/>
      <c r="BN67" s="201"/>
      <c r="BO67" s="201"/>
      <c r="BP67" s="201"/>
      <c r="BQ67" s="201"/>
      <c r="BR67" s="201"/>
      <c r="BS67" s="201"/>
      <c r="BT67" s="201"/>
      <c r="BU67" s="201"/>
      <c r="BV67" s="201"/>
      <c r="BW67" s="201"/>
      <c r="BX67" s="201"/>
      <c r="BY67" s="201"/>
      <c r="BZ67" s="201"/>
      <c r="CA67" s="201"/>
      <c r="CB67" s="201"/>
      <c r="CC67" s="201"/>
      <c r="CD67" s="201"/>
      <c r="CE67" s="201"/>
      <c r="CF67" s="201"/>
      <c r="CG67" s="201"/>
      <c r="CH67" s="201"/>
      <c r="CI67" s="201"/>
      <c r="CJ67" s="201"/>
      <c r="CK67" s="201"/>
    </row>
    <row r="68" spans="1:89" s="63" customFormat="1" ht="22.8">
      <c r="A68" s="228"/>
      <c r="B68" s="191" t="s">
        <v>24</v>
      </c>
      <c r="C68" s="164">
        <v>8292</v>
      </c>
      <c r="D68" s="165" t="s">
        <v>43</v>
      </c>
      <c r="E68" s="185" t="s">
        <v>38</v>
      </c>
      <c r="F68" s="167">
        <v>2</v>
      </c>
      <c r="G68" s="168">
        <v>2</v>
      </c>
      <c r="H68" s="168">
        <v>2</v>
      </c>
      <c r="I68" s="168">
        <v>2</v>
      </c>
      <c r="J68" s="168">
        <v>2</v>
      </c>
      <c r="K68" s="168">
        <v>2</v>
      </c>
      <c r="L68" s="168" t="s">
        <v>34</v>
      </c>
      <c r="M68" s="168" t="s">
        <v>34</v>
      </c>
      <c r="N68" s="168">
        <v>3</v>
      </c>
      <c r="O68" s="168">
        <v>3</v>
      </c>
      <c r="P68" s="168">
        <v>3</v>
      </c>
      <c r="Q68" s="168">
        <v>3</v>
      </c>
      <c r="R68" s="168">
        <v>3</v>
      </c>
      <c r="S68" s="168">
        <v>3</v>
      </c>
      <c r="T68" s="168">
        <v>3</v>
      </c>
      <c r="U68" s="168">
        <v>3</v>
      </c>
      <c r="V68" s="168">
        <v>3</v>
      </c>
      <c r="W68" s="168">
        <v>3</v>
      </c>
      <c r="X68" s="168">
        <v>3</v>
      </c>
      <c r="Y68" s="168">
        <v>3</v>
      </c>
      <c r="Z68" s="168">
        <v>3</v>
      </c>
      <c r="AA68" s="168">
        <v>3</v>
      </c>
      <c r="AB68" s="168">
        <v>3</v>
      </c>
      <c r="AC68" s="168">
        <v>3</v>
      </c>
      <c r="AD68" s="168">
        <v>3</v>
      </c>
      <c r="AE68" s="168"/>
      <c r="AF68" s="168">
        <v>2</v>
      </c>
      <c r="AG68" s="168">
        <v>2</v>
      </c>
      <c r="AH68" s="168" t="s">
        <v>32</v>
      </c>
      <c r="AI68" s="168" t="s">
        <v>32</v>
      </c>
      <c r="AJ68" s="169"/>
      <c r="AK68" s="264">
        <f t="shared" si="9"/>
        <v>0</v>
      </c>
      <c r="AL68" s="265">
        <f t="shared" si="10"/>
        <v>0</v>
      </c>
      <c r="AM68" s="266">
        <f t="shared" si="11"/>
        <v>1</v>
      </c>
      <c r="AN68" s="266"/>
      <c r="AO68" s="266">
        <f t="shared" si="12"/>
        <v>0</v>
      </c>
      <c r="AP68" s="266"/>
      <c r="AQ68" s="266">
        <f t="shared" si="13"/>
        <v>10</v>
      </c>
      <c r="AR68" s="266">
        <f t="shared" si="14"/>
        <v>0</v>
      </c>
      <c r="AS68" s="266"/>
      <c r="AT68" s="266">
        <f t="shared" si="15"/>
        <v>0</v>
      </c>
      <c r="AU68" s="266">
        <f t="shared" si="16"/>
        <v>1</v>
      </c>
      <c r="AV68" s="266">
        <f t="shared" si="17"/>
        <v>0</v>
      </c>
      <c r="AW68" s="207"/>
      <c r="AX68" s="207"/>
      <c r="AY68" s="209">
        <f t="shared" si="29"/>
        <v>12</v>
      </c>
      <c r="AZ68" s="210">
        <f t="shared" si="30"/>
        <v>19</v>
      </c>
      <c r="BA68" s="268">
        <f t="shared" si="20"/>
        <v>31</v>
      </c>
      <c r="BB68" s="211"/>
      <c r="BC68" s="212"/>
      <c r="BD68" s="212"/>
      <c r="BE68" s="212"/>
      <c r="BF68" s="212"/>
      <c r="BG68" s="212"/>
      <c r="BH68" s="234"/>
      <c r="BI68" s="209"/>
      <c r="BJ68" s="209"/>
      <c r="BK68" s="235"/>
      <c r="BL68" s="273">
        <f t="shared" si="21"/>
        <v>31</v>
      </c>
      <c r="BM68" s="201"/>
      <c r="BN68" s="201"/>
      <c r="BO68" s="201"/>
      <c r="BP68" s="201"/>
      <c r="BQ68" s="201"/>
      <c r="BR68" s="201"/>
      <c r="BS68" s="201"/>
      <c r="BT68" s="201"/>
      <c r="BU68" s="201"/>
      <c r="BV68" s="201"/>
      <c r="BW68" s="201"/>
      <c r="BX68" s="201"/>
      <c r="BY68" s="201"/>
      <c r="BZ68" s="201"/>
      <c r="CA68" s="201"/>
      <c r="CB68" s="201"/>
      <c r="CC68" s="201"/>
      <c r="CD68" s="201"/>
      <c r="CE68" s="201"/>
      <c r="CF68" s="201"/>
      <c r="CG68" s="201"/>
      <c r="CH68" s="201"/>
      <c r="CI68" s="201"/>
      <c r="CJ68" s="201"/>
      <c r="CK68" s="201"/>
    </row>
    <row r="69" spans="1:89" s="63" customFormat="1" ht="36">
      <c r="A69" s="228"/>
      <c r="B69" s="191" t="s">
        <v>24</v>
      </c>
      <c r="C69" s="164">
        <v>8303</v>
      </c>
      <c r="D69" s="165" t="s">
        <v>304</v>
      </c>
      <c r="E69" s="185" t="s">
        <v>38</v>
      </c>
      <c r="F69" s="167"/>
      <c r="G69" s="168"/>
      <c r="H69" s="168"/>
      <c r="I69" s="168"/>
      <c r="J69" s="168" t="s">
        <v>193</v>
      </c>
      <c r="K69" s="168">
        <v>2</v>
      </c>
      <c r="L69" s="168" t="s">
        <v>32</v>
      </c>
      <c r="M69" s="168"/>
      <c r="N69" s="168" t="s">
        <v>30</v>
      </c>
      <c r="O69" s="168">
        <v>2</v>
      </c>
      <c r="P69" s="168" t="s">
        <v>30</v>
      </c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 t="s">
        <v>257</v>
      </c>
      <c r="AC69" s="168" t="s">
        <v>257</v>
      </c>
      <c r="AD69" s="168" t="s">
        <v>257</v>
      </c>
      <c r="AE69" s="168" t="s">
        <v>257</v>
      </c>
      <c r="AF69" s="168" t="s">
        <v>257</v>
      </c>
      <c r="AG69" s="168" t="s">
        <v>257</v>
      </c>
      <c r="AH69" s="168" t="s">
        <v>257</v>
      </c>
      <c r="AI69" s="168" t="s">
        <v>257</v>
      </c>
      <c r="AJ69" s="169"/>
      <c r="AK69" s="264">
        <f t="shared" si="9"/>
        <v>0</v>
      </c>
      <c r="AL69" s="265">
        <f t="shared" si="10"/>
        <v>0</v>
      </c>
      <c r="AM69" s="266">
        <f t="shared" si="11"/>
        <v>1</v>
      </c>
      <c r="AN69" s="266"/>
      <c r="AO69" s="266">
        <f t="shared" si="12"/>
        <v>0</v>
      </c>
      <c r="AP69" s="266"/>
      <c r="AQ69" s="266">
        <f t="shared" si="13"/>
        <v>3</v>
      </c>
      <c r="AR69" s="266">
        <f t="shared" si="14"/>
        <v>1.5</v>
      </c>
      <c r="AS69" s="266"/>
      <c r="AT69" s="266">
        <f t="shared" si="15"/>
        <v>0</v>
      </c>
      <c r="AU69" s="266">
        <f t="shared" si="16"/>
        <v>1</v>
      </c>
      <c r="AV69" s="266">
        <f t="shared" si="17"/>
        <v>0</v>
      </c>
      <c r="AW69" s="207"/>
      <c r="AX69" s="207"/>
      <c r="AY69" s="209">
        <f t="shared" si="29"/>
        <v>6.5</v>
      </c>
      <c r="AZ69" s="210">
        <f t="shared" si="30"/>
        <v>0</v>
      </c>
      <c r="BA69" s="268">
        <f t="shared" si="20"/>
        <v>6.5</v>
      </c>
      <c r="BB69" s="211"/>
      <c r="BC69" s="212"/>
      <c r="BD69" s="212"/>
      <c r="BE69" s="212"/>
      <c r="BF69" s="212"/>
      <c r="BG69" s="212"/>
      <c r="BH69" s="234"/>
      <c r="BI69" s="209"/>
      <c r="BJ69" s="209"/>
      <c r="BK69" s="235"/>
      <c r="BL69" s="273">
        <f t="shared" si="21"/>
        <v>6.5</v>
      </c>
      <c r="BM69" s="201"/>
      <c r="BN69" s="201"/>
      <c r="BO69" s="201"/>
      <c r="BP69" s="201"/>
      <c r="BQ69" s="201"/>
      <c r="BR69" s="201"/>
      <c r="BS69" s="201"/>
      <c r="BT69" s="201"/>
      <c r="BU69" s="201"/>
      <c r="BV69" s="201"/>
      <c r="BW69" s="201"/>
      <c r="BX69" s="201"/>
      <c r="BY69" s="201"/>
      <c r="BZ69" s="201"/>
      <c r="CA69" s="201"/>
      <c r="CB69" s="201"/>
      <c r="CC69" s="201"/>
      <c r="CD69" s="201"/>
      <c r="CE69" s="201"/>
      <c r="CF69" s="201"/>
      <c r="CG69" s="201"/>
      <c r="CH69" s="201"/>
      <c r="CI69" s="201"/>
      <c r="CJ69" s="201"/>
      <c r="CK69" s="201"/>
    </row>
    <row r="70" spans="1:89" s="63" customFormat="1" ht="22.8">
      <c r="A70" s="228"/>
      <c r="B70" s="191" t="s">
        <v>24</v>
      </c>
      <c r="C70" s="164">
        <v>8312</v>
      </c>
      <c r="D70" s="165" t="s">
        <v>255</v>
      </c>
      <c r="E70" s="185" t="s">
        <v>38</v>
      </c>
      <c r="F70" s="167" t="s">
        <v>29</v>
      </c>
      <c r="G70" s="168" t="s">
        <v>29</v>
      </c>
      <c r="H70" s="168" t="s">
        <v>29</v>
      </c>
      <c r="I70" s="168" t="s">
        <v>29</v>
      </c>
      <c r="J70" s="168" t="s">
        <v>29</v>
      </c>
      <c r="K70" s="168" t="s">
        <v>29</v>
      </c>
      <c r="L70" s="168"/>
      <c r="M70" s="168" t="s">
        <v>29</v>
      </c>
      <c r="N70" s="168" t="s">
        <v>29</v>
      </c>
      <c r="O70" s="168" t="s">
        <v>29</v>
      </c>
      <c r="P70" s="168" t="s">
        <v>29</v>
      </c>
      <c r="Q70" s="168" t="s">
        <v>29</v>
      </c>
      <c r="R70" s="168" t="s">
        <v>29</v>
      </c>
      <c r="S70" s="168"/>
      <c r="T70" s="168" t="s">
        <v>29</v>
      </c>
      <c r="U70" s="168" t="s">
        <v>29</v>
      </c>
      <c r="V70" s="168" t="s">
        <v>29</v>
      </c>
      <c r="W70" s="168" t="s">
        <v>29</v>
      </c>
      <c r="X70" s="168" t="s">
        <v>29</v>
      </c>
      <c r="Y70" s="168" t="s">
        <v>29</v>
      </c>
      <c r="Z70" s="168"/>
      <c r="AA70" s="168" t="s">
        <v>29</v>
      </c>
      <c r="AB70" s="168" t="s">
        <v>29</v>
      </c>
      <c r="AC70" s="168" t="s">
        <v>29</v>
      </c>
      <c r="AD70" s="168" t="s">
        <v>29</v>
      </c>
      <c r="AE70" s="168" t="s">
        <v>29</v>
      </c>
      <c r="AF70" s="168" t="s">
        <v>29</v>
      </c>
      <c r="AG70" s="168"/>
      <c r="AH70" s="168" t="s">
        <v>29</v>
      </c>
      <c r="AI70" s="168" t="s">
        <v>29</v>
      </c>
      <c r="AJ70" s="169"/>
      <c r="AK70" s="264">
        <f t="shared" si="9"/>
        <v>0</v>
      </c>
      <c r="AL70" s="265">
        <f t="shared" si="10"/>
        <v>0</v>
      </c>
      <c r="AM70" s="266">
        <f t="shared" si="11"/>
        <v>0</v>
      </c>
      <c r="AN70" s="266"/>
      <c r="AO70" s="266">
        <f t="shared" si="12"/>
        <v>0</v>
      </c>
      <c r="AP70" s="266"/>
      <c r="AQ70" s="266">
        <f t="shared" si="13"/>
        <v>0</v>
      </c>
      <c r="AR70" s="266">
        <f t="shared" si="14"/>
        <v>0</v>
      </c>
      <c r="AS70" s="266"/>
      <c r="AT70" s="266">
        <f t="shared" si="15"/>
        <v>0</v>
      </c>
      <c r="AU70" s="266">
        <f t="shared" si="16"/>
        <v>0</v>
      </c>
      <c r="AV70" s="266">
        <f t="shared" si="17"/>
        <v>26</v>
      </c>
      <c r="AW70" s="207"/>
      <c r="AX70" s="207"/>
      <c r="AY70" s="209">
        <f t="shared" si="29"/>
        <v>26</v>
      </c>
      <c r="AZ70" s="210">
        <f t="shared" si="30"/>
        <v>0</v>
      </c>
      <c r="BA70" s="268">
        <f t="shared" si="20"/>
        <v>26</v>
      </c>
      <c r="BB70" s="211"/>
      <c r="BC70" s="212"/>
      <c r="BD70" s="212"/>
      <c r="BE70" s="212"/>
      <c r="BF70" s="212"/>
      <c r="BG70" s="212"/>
      <c r="BH70" s="234"/>
      <c r="BI70" s="209"/>
      <c r="BJ70" s="209"/>
      <c r="BK70" s="235"/>
      <c r="BL70" s="273">
        <f t="shared" si="21"/>
        <v>26</v>
      </c>
      <c r="BM70" s="201"/>
      <c r="BN70" s="201"/>
      <c r="BO70" s="201"/>
      <c r="BP70" s="201"/>
      <c r="BQ70" s="201"/>
      <c r="BR70" s="201"/>
      <c r="BS70" s="201"/>
      <c r="BT70" s="201"/>
      <c r="BU70" s="201"/>
      <c r="BV70" s="201"/>
      <c r="BW70" s="201"/>
      <c r="BX70" s="201"/>
      <c r="BY70" s="201"/>
      <c r="BZ70" s="201"/>
      <c r="CA70" s="201"/>
      <c r="CB70" s="201"/>
      <c r="CC70" s="201"/>
      <c r="CD70" s="201"/>
      <c r="CE70" s="201"/>
      <c r="CF70" s="201"/>
      <c r="CG70" s="201"/>
      <c r="CH70" s="201"/>
      <c r="CI70" s="201"/>
      <c r="CJ70" s="201"/>
      <c r="CK70" s="201"/>
    </row>
    <row r="71" spans="1:89" s="63" customFormat="1" ht="36">
      <c r="A71" s="228"/>
      <c r="B71" s="191" t="s">
        <v>24</v>
      </c>
      <c r="C71" s="164">
        <v>8316</v>
      </c>
      <c r="D71" s="165" t="s">
        <v>36</v>
      </c>
      <c r="E71" s="185" t="s">
        <v>38</v>
      </c>
      <c r="F71" s="167"/>
      <c r="G71" s="168"/>
      <c r="H71" s="168"/>
      <c r="I71" s="168"/>
      <c r="J71" s="168"/>
      <c r="K71" s="168"/>
      <c r="L71" s="168"/>
      <c r="M71" s="168" t="s">
        <v>30</v>
      </c>
      <c r="N71" s="168">
        <v>2</v>
      </c>
      <c r="O71" s="168" t="s">
        <v>193</v>
      </c>
      <c r="P71" s="168">
        <v>1</v>
      </c>
      <c r="Q71" s="168" t="s">
        <v>35</v>
      </c>
      <c r="R71" s="168" t="s">
        <v>34</v>
      </c>
      <c r="S71" s="168"/>
      <c r="T71" s="168" t="s">
        <v>35</v>
      </c>
      <c r="U71" s="168" t="s">
        <v>30</v>
      </c>
      <c r="V71" s="168"/>
      <c r="W71" s="168">
        <v>1</v>
      </c>
      <c r="X71" s="168">
        <v>1</v>
      </c>
      <c r="Y71" s="168" t="s">
        <v>29</v>
      </c>
      <c r="Z71" s="168" t="s">
        <v>29</v>
      </c>
      <c r="AA71" s="168" t="s">
        <v>30</v>
      </c>
      <c r="AB71" s="168" t="s">
        <v>193</v>
      </c>
      <c r="AC71" s="168" t="s">
        <v>34</v>
      </c>
      <c r="AD71" s="168" t="s">
        <v>34</v>
      </c>
      <c r="AE71" s="168" t="s">
        <v>34</v>
      </c>
      <c r="AF71" s="168"/>
      <c r="AG71" s="168" t="s">
        <v>27</v>
      </c>
      <c r="AH71" s="168" t="s">
        <v>35</v>
      </c>
      <c r="AI71" s="168">
        <v>2</v>
      </c>
      <c r="AJ71" s="169"/>
      <c r="AK71" s="264">
        <f t="shared" si="9"/>
        <v>4</v>
      </c>
      <c r="AL71" s="265">
        <f t="shared" si="10"/>
        <v>0</v>
      </c>
      <c r="AM71" s="266">
        <f t="shared" si="11"/>
        <v>1</v>
      </c>
      <c r="AN71" s="266"/>
      <c r="AO71" s="266">
        <f t="shared" si="12"/>
        <v>0</v>
      </c>
      <c r="AP71" s="266"/>
      <c r="AQ71" s="266">
        <f t="shared" si="13"/>
        <v>2</v>
      </c>
      <c r="AR71" s="266">
        <f t="shared" si="14"/>
        <v>3</v>
      </c>
      <c r="AS71" s="266"/>
      <c r="AT71" s="266">
        <f t="shared" si="15"/>
        <v>0</v>
      </c>
      <c r="AU71" s="266">
        <f t="shared" si="16"/>
        <v>5</v>
      </c>
      <c r="AV71" s="266">
        <f t="shared" si="17"/>
        <v>2</v>
      </c>
      <c r="AW71" s="207"/>
      <c r="AX71" s="207"/>
      <c r="AY71" s="209">
        <f t="shared" si="29"/>
        <v>17</v>
      </c>
      <c r="AZ71" s="210">
        <f t="shared" si="30"/>
        <v>4</v>
      </c>
      <c r="BA71" s="268">
        <f t="shared" si="20"/>
        <v>21</v>
      </c>
      <c r="BB71" s="211"/>
      <c r="BC71" s="212"/>
      <c r="BD71" s="212"/>
      <c r="BE71" s="212"/>
      <c r="BF71" s="212"/>
      <c r="BG71" s="212"/>
      <c r="BH71" s="234"/>
      <c r="BI71" s="209"/>
      <c r="BJ71" s="209"/>
      <c r="BK71" s="235"/>
      <c r="BL71" s="273">
        <f t="shared" si="21"/>
        <v>21</v>
      </c>
      <c r="BM71" s="201"/>
      <c r="BN71" s="201"/>
      <c r="BO71" s="201"/>
      <c r="BP71" s="201"/>
      <c r="BQ71" s="201"/>
      <c r="BR71" s="201"/>
      <c r="BS71" s="201"/>
      <c r="BT71" s="201"/>
      <c r="BU71" s="201"/>
      <c r="BV71" s="201"/>
      <c r="BW71" s="201"/>
      <c r="BX71" s="201"/>
      <c r="BY71" s="201"/>
      <c r="BZ71" s="201"/>
      <c r="CA71" s="201"/>
      <c r="CB71" s="201"/>
      <c r="CC71" s="201"/>
      <c r="CD71" s="201"/>
      <c r="CE71" s="201"/>
      <c r="CF71" s="201"/>
      <c r="CG71" s="201"/>
      <c r="CH71" s="201"/>
      <c r="CI71" s="201"/>
      <c r="CJ71" s="201"/>
      <c r="CK71" s="201"/>
    </row>
    <row r="72" spans="1:89" s="63" customFormat="1" ht="36">
      <c r="A72" s="228">
        <v>46</v>
      </c>
      <c r="B72" s="191" t="s">
        <v>24</v>
      </c>
      <c r="C72" s="164">
        <v>8319</v>
      </c>
      <c r="D72" s="165" t="s">
        <v>307</v>
      </c>
      <c r="E72" s="186" t="s">
        <v>38</v>
      </c>
      <c r="F72" s="167"/>
      <c r="G72" s="168"/>
      <c r="H72" s="168"/>
      <c r="I72" s="168"/>
      <c r="J72" s="168"/>
      <c r="K72" s="168"/>
      <c r="L72" s="168"/>
      <c r="M72" s="168">
        <v>2</v>
      </c>
      <c r="N72" s="168">
        <v>2</v>
      </c>
      <c r="O72" s="168">
        <v>2</v>
      </c>
      <c r="P72" s="168">
        <v>2</v>
      </c>
      <c r="Q72" s="168">
        <v>2</v>
      </c>
      <c r="R72" s="168">
        <v>2</v>
      </c>
      <c r="S72" s="168"/>
      <c r="T72" s="168"/>
      <c r="U72" s="168" t="s">
        <v>193</v>
      </c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168"/>
      <c r="AG72" s="168"/>
      <c r="AH72" s="168"/>
      <c r="AI72" s="168"/>
      <c r="AJ72" s="169"/>
      <c r="AK72" s="264">
        <f t="shared" si="9"/>
        <v>0</v>
      </c>
      <c r="AL72" s="265">
        <f t="shared" si="10"/>
        <v>0</v>
      </c>
      <c r="AM72" s="266">
        <f t="shared" si="11"/>
        <v>0.5</v>
      </c>
      <c r="AN72" s="266"/>
      <c r="AO72" s="266">
        <f t="shared" si="12"/>
        <v>0</v>
      </c>
      <c r="AP72" s="266"/>
      <c r="AQ72" s="266">
        <f t="shared" si="13"/>
        <v>6</v>
      </c>
      <c r="AR72" s="266">
        <f t="shared" si="14"/>
        <v>0.5</v>
      </c>
      <c r="AS72" s="266"/>
      <c r="AT72" s="266">
        <f t="shared" si="15"/>
        <v>0</v>
      </c>
      <c r="AU72" s="266">
        <f t="shared" si="16"/>
        <v>0</v>
      </c>
      <c r="AV72" s="266">
        <f t="shared" si="17"/>
        <v>0</v>
      </c>
      <c r="AW72" s="207"/>
      <c r="AX72" s="207"/>
      <c r="AY72" s="209">
        <f t="shared" si="29"/>
        <v>7</v>
      </c>
      <c r="AZ72" s="210">
        <f t="shared" si="30"/>
        <v>0</v>
      </c>
      <c r="BA72" s="268">
        <f t="shared" si="20"/>
        <v>7</v>
      </c>
      <c r="BB72" s="211">
        <f>COUNTIF(F72:AJ72,"L1")+COUNTIF(F72:AJ72,"L1, LC1")</f>
        <v>0</v>
      </c>
      <c r="BC72" s="212">
        <f>COUNTIF(F72:AJ72,"LS2")*0.5+COUNTIF(F72:AJ72,"L2, LS2")*0.5+COUNTIF(F72:AJ72,"LS2, LC1")*0.5+COUNTIF(F72:AJ72,"H2, S2")*0.5</f>
        <v>0</v>
      </c>
      <c r="BD72" s="212">
        <f>COUNTIF(F72:AJ72,"L2")+COUNTIF(F72:AJ72,"L2, LS2")</f>
        <v>0</v>
      </c>
      <c r="BE72" s="212">
        <f>COUNTIF(F72:AJ72,"LC1")*0.5+COUNTIF(F72:AJ72,"LS2, LC1")*0.5+COUNTIF(F72:AJ72,"L1, LC1")*0.5+COUNTIF(F72:AJ72,"LC1, LC2")*0.5</f>
        <v>0</v>
      </c>
      <c r="BF72" s="212">
        <f>COUNTIF(F72:AJ72,"LC2")*0.5+COUNTIF(F72:AJ72,"L3, LC2")*0.5+COUNTIF(F72:AJ72,"LC1, LC2")*0.5</f>
        <v>0</v>
      </c>
      <c r="BG72" s="212">
        <f>COUNTIF(F72:AJ72,"LHC")+COUNTIF(F72:AJ72,"LHC, H3")</f>
        <v>0</v>
      </c>
      <c r="BH72" s="234">
        <f t="shared" si="6"/>
        <v>0</v>
      </c>
      <c r="BI72" s="209"/>
      <c r="BJ72" s="209">
        <f>COUNTIF(F72:AJ72,"L3")+COUNTIF(F72:AJ72,"L3, LC2")</f>
        <v>0</v>
      </c>
      <c r="BK72" s="235">
        <f t="shared" si="8"/>
        <v>0</v>
      </c>
      <c r="BL72" s="273">
        <f t="shared" si="21"/>
        <v>7</v>
      </c>
      <c r="BM72" s="201"/>
      <c r="BN72" s="201"/>
      <c r="BO72" s="201"/>
      <c r="BP72" s="201"/>
      <c r="BQ72" s="201"/>
      <c r="BR72" s="201"/>
      <c r="BS72" s="201"/>
      <c r="BT72" s="201"/>
      <c r="BU72" s="201"/>
      <c r="BV72" s="201"/>
      <c r="BW72" s="201"/>
      <c r="BX72" s="201"/>
      <c r="BY72" s="201"/>
      <c r="BZ72" s="201"/>
      <c r="CA72" s="201"/>
      <c r="CB72" s="201"/>
      <c r="CC72" s="201"/>
      <c r="CD72" s="201"/>
      <c r="CE72" s="201"/>
      <c r="CF72" s="201"/>
      <c r="CG72" s="201"/>
      <c r="CH72" s="201"/>
      <c r="CI72" s="201"/>
      <c r="CJ72" s="201"/>
      <c r="CK72" s="201"/>
    </row>
    <row r="73" spans="1:89" s="63" customFormat="1" ht="36">
      <c r="A73" s="249">
        <v>47</v>
      </c>
      <c r="B73" s="191" t="s">
        <v>24</v>
      </c>
      <c r="C73" s="164">
        <v>8324</v>
      </c>
      <c r="D73" s="165" t="s">
        <v>256</v>
      </c>
      <c r="E73" s="186" t="s">
        <v>38</v>
      </c>
      <c r="F73" s="167"/>
      <c r="G73" s="168"/>
      <c r="H73" s="168"/>
      <c r="I73" s="168"/>
      <c r="J73" s="168"/>
      <c r="K73" s="168"/>
      <c r="L73" s="168"/>
      <c r="M73" s="168">
        <v>2</v>
      </c>
      <c r="N73" s="168">
        <v>2</v>
      </c>
      <c r="O73" s="168" t="s">
        <v>193</v>
      </c>
      <c r="P73" s="168">
        <v>2</v>
      </c>
      <c r="Q73" s="168" t="s">
        <v>193</v>
      </c>
      <c r="R73" s="168" t="s">
        <v>29</v>
      </c>
      <c r="S73" s="168" t="s">
        <v>29</v>
      </c>
      <c r="T73" s="168" t="s">
        <v>193</v>
      </c>
      <c r="U73" s="168">
        <v>2</v>
      </c>
      <c r="V73" s="168">
        <v>2</v>
      </c>
      <c r="W73" s="168" t="s">
        <v>30</v>
      </c>
      <c r="X73" s="168" t="s">
        <v>193</v>
      </c>
      <c r="Y73" s="168"/>
      <c r="Z73" s="168"/>
      <c r="AA73" s="168">
        <v>2</v>
      </c>
      <c r="AB73" s="168">
        <v>2</v>
      </c>
      <c r="AC73" s="168" t="s">
        <v>30</v>
      </c>
      <c r="AD73" s="168">
        <v>2</v>
      </c>
      <c r="AE73" s="168">
        <v>2</v>
      </c>
      <c r="AF73" s="168"/>
      <c r="AG73" s="168" t="s">
        <v>29</v>
      </c>
      <c r="AH73" s="168">
        <v>2</v>
      </c>
      <c r="AI73" s="168">
        <v>2</v>
      </c>
      <c r="AJ73" s="169"/>
      <c r="AK73" s="264">
        <f t="shared" si="9"/>
        <v>0</v>
      </c>
      <c r="AL73" s="265">
        <f t="shared" si="10"/>
        <v>0</v>
      </c>
      <c r="AM73" s="266">
        <f t="shared" si="11"/>
        <v>2</v>
      </c>
      <c r="AN73" s="266"/>
      <c r="AO73" s="266">
        <f t="shared" si="12"/>
        <v>0</v>
      </c>
      <c r="AP73" s="266"/>
      <c r="AQ73" s="266">
        <f t="shared" si="13"/>
        <v>11</v>
      </c>
      <c r="AR73" s="266">
        <f t="shared" si="14"/>
        <v>3</v>
      </c>
      <c r="AS73" s="266"/>
      <c r="AT73" s="266">
        <f t="shared" si="15"/>
        <v>0</v>
      </c>
      <c r="AU73" s="266">
        <f t="shared" si="16"/>
        <v>1</v>
      </c>
      <c r="AV73" s="266">
        <f t="shared" si="17"/>
        <v>3</v>
      </c>
      <c r="AW73" s="207"/>
      <c r="AX73" s="207"/>
      <c r="AY73" s="209">
        <f t="shared" si="29"/>
        <v>20</v>
      </c>
      <c r="AZ73" s="210">
        <f t="shared" si="30"/>
        <v>0</v>
      </c>
      <c r="BA73" s="268">
        <f t="shared" si="20"/>
        <v>20</v>
      </c>
      <c r="BB73" s="211">
        <f>COUNTIF(F73:AJ73,"L1")+COUNTIF(F73:AJ73,"L1, LC1")</f>
        <v>0</v>
      </c>
      <c r="BC73" s="212">
        <f>COUNTIF(F73:AJ73,"LS2")*0.5+COUNTIF(F73:AJ73,"L2, LS2")*0.5+COUNTIF(F73:AJ73,"LS2, LC1")*0.5+COUNTIF(F73:AJ73,"H2, S2")*0.5</f>
        <v>0</v>
      </c>
      <c r="BD73" s="212">
        <f>COUNTIF(F73:AJ73,"L2")+COUNTIF(F73:AJ73,"L2, LS2")</f>
        <v>0</v>
      </c>
      <c r="BE73" s="212">
        <f>COUNTIF(F73:AJ73,"LC1")*0.5+COUNTIF(F73:AJ73,"LS2, LC1")*0.5+COUNTIF(F73:AJ73,"L1, LC1")*0.5+COUNTIF(F73:AJ73,"LC1, LC2")*0.5</f>
        <v>0</v>
      </c>
      <c r="BF73" s="212">
        <f>COUNTIF(F73:AJ73,"LC2")*0.5+COUNTIF(F73:AJ73,"L3, LC2")*0.5+COUNTIF(F73:AJ73,"LC1, LC2")*0.5</f>
        <v>0</v>
      </c>
      <c r="BG73" s="212">
        <f>COUNTIF(F73:AJ73,"LHC")+COUNTIF(F73:AJ73,"LHC, H3")</f>
        <v>0</v>
      </c>
      <c r="BH73" s="234">
        <f t="shared" si="6"/>
        <v>0</v>
      </c>
      <c r="BI73" s="209"/>
      <c r="BJ73" s="209">
        <f>COUNTIF(F73:AJ73,"L3")+COUNTIF(F73:AJ73,"L3, LC2")</f>
        <v>0</v>
      </c>
      <c r="BK73" s="235">
        <f t="shared" si="8"/>
        <v>0</v>
      </c>
      <c r="BL73" s="273">
        <f t="shared" si="21"/>
        <v>20</v>
      </c>
      <c r="BM73" s="201"/>
      <c r="BN73" s="201"/>
      <c r="BO73" s="201"/>
      <c r="BP73" s="201"/>
      <c r="BQ73" s="201"/>
      <c r="BR73" s="201"/>
      <c r="BS73" s="201"/>
      <c r="BT73" s="201"/>
      <c r="BU73" s="201"/>
      <c r="BV73" s="201"/>
      <c r="BW73" s="201"/>
      <c r="BX73" s="201"/>
      <c r="BY73" s="201"/>
      <c r="BZ73" s="201"/>
      <c r="CA73" s="201"/>
      <c r="CB73" s="201"/>
      <c r="CC73" s="201"/>
      <c r="CD73" s="201"/>
      <c r="CE73" s="201"/>
      <c r="CF73" s="201"/>
      <c r="CG73" s="201"/>
      <c r="CH73" s="201"/>
      <c r="CI73" s="201"/>
      <c r="CJ73" s="201"/>
      <c r="CK73" s="201"/>
    </row>
    <row r="74" spans="1:89" s="63" customFormat="1" ht="36">
      <c r="A74" s="228">
        <v>48</v>
      </c>
      <c r="B74" s="191" t="s">
        <v>24</v>
      </c>
      <c r="C74" s="164">
        <v>8327</v>
      </c>
      <c r="D74" s="165" t="s">
        <v>41</v>
      </c>
      <c r="E74" s="186" t="s">
        <v>38</v>
      </c>
      <c r="F74" s="167"/>
      <c r="G74" s="168"/>
      <c r="H74" s="168"/>
      <c r="I74" s="168"/>
      <c r="J74" s="168"/>
      <c r="K74" s="168"/>
      <c r="L74" s="168"/>
      <c r="M74" s="168"/>
      <c r="N74" s="168" t="s">
        <v>29</v>
      </c>
      <c r="O74" s="168"/>
      <c r="P74" s="168" t="s">
        <v>29</v>
      </c>
      <c r="Q74" s="168">
        <v>2</v>
      </c>
      <c r="R74" s="168"/>
      <c r="S74" s="168" t="s">
        <v>29</v>
      </c>
      <c r="T74" s="168"/>
      <c r="U74" s="168" t="s">
        <v>193</v>
      </c>
      <c r="V74" s="168" t="s">
        <v>193</v>
      </c>
      <c r="W74" s="168">
        <v>1</v>
      </c>
      <c r="X74" s="168"/>
      <c r="Y74" s="168" t="s">
        <v>193</v>
      </c>
      <c r="Z74" s="168"/>
      <c r="AA74" s="168" t="s">
        <v>193</v>
      </c>
      <c r="AB74" s="168">
        <v>1</v>
      </c>
      <c r="AC74" s="168"/>
      <c r="AD74" s="168" t="s">
        <v>29</v>
      </c>
      <c r="AE74" s="168" t="s">
        <v>29</v>
      </c>
      <c r="AF74" s="168">
        <v>2</v>
      </c>
      <c r="AG74" s="168"/>
      <c r="AH74" s="168" t="s">
        <v>29</v>
      </c>
      <c r="AI74" s="168">
        <v>2</v>
      </c>
      <c r="AJ74" s="169"/>
      <c r="AK74" s="264">
        <f t="shared" si="9"/>
        <v>2</v>
      </c>
      <c r="AL74" s="265">
        <f t="shared" si="10"/>
        <v>0</v>
      </c>
      <c r="AM74" s="266">
        <f t="shared" si="11"/>
        <v>2</v>
      </c>
      <c r="AN74" s="266"/>
      <c r="AO74" s="266">
        <f t="shared" si="12"/>
        <v>0</v>
      </c>
      <c r="AP74" s="266"/>
      <c r="AQ74" s="266">
        <f t="shared" si="13"/>
        <v>3</v>
      </c>
      <c r="AR74" s="266">
        <f t="shared" si="14"/>
        <v>2</v>
      </c>
      <c r="AS74" s="266"/>
      <c r="AT74" s="266">
        <f t="shared" si="15"/>
        <v>0</v>
      </c>
      <c r="AU74" s="266">
        <f t="shared" si="16"/>
        <v>0</v>
      </c>
      <c r="AV74" s="266">
        <f t="shared" si="17"/>
        <v>6</v>
      </c>
      <c r="AW74" s="207"/>
      <c r="AX74" s="207"/>
      <c r="AY74" s="209">
        <f t="shared" si="29"/>
        <v>15</v>
      </c>
      <c r="AZ74" s="210">
        <f t="shared" si="30"/>
        <v>0</v>
      </c>
      <c r="BA74" s="268">
        <f t="shared" si="20"/>
        <v>15</v>
      </c>
      <c r="BB74" s="211">
        <f>COUNTIF(F74:AJ74,"L1")+COUNTIF(F74:AJ74,"L1, LC1")</f>
        <v>0</v>
      </c>
      <c r="BC74" s="212">
        <f>COUNTIF(F74:AJ74,"LS2")*0.5+COUNTIF(F74:AJ74,"L2, LS2")*0.5+COUNTIF(F74:AJ74,"LS2, LC1")*0.5+COUNTIF(F74:AJ74,"H2, S2")*0.5</f>
        <v>0</v>
      </c>
      <c r="BD74" s="212">
        <f>COUNTIF(F74:AJ74,"L2")+COUNTIF(F74:AJ74,"L2, LS2")</f>
        <v>0</v>
      </c>
      <c r="BE74" s="212">
        <f>COUNTIF(F74:AJ74,"LC1")*0.5+COUNTIF(F74:AJ74,"LS2, LC1")*0.5+COUNTIF(F74:AJ74,"L1, LC1")*0.5+COUNTIF(F74:AJ74,"LC1, LC2")*0.5</f>
        <v>0</v>
      </c>
      <c r="BF74" s="212">
        <f>COUNTIF(F74:AJ74,"LC2")*0.5+COUNTIF(F74:AJ74,"L3, LC2")*0.5+COUNTIF(F74:AJ74,"LC1, LC2")*0.5</f>
        <v>0</v>
      </c>
      <c r="BG74" s="212">
        <f>COUNTIF(F74:AJ74,"LHC")+COUNTIF(F74:AJ74,"LHC, H3")</f>
        <v>0</v>
      </c>
      <c r="BH74" s="234">
        <f t="shared" si="6"/>
        <v>0</v>
      </c>
      <c r="BI74" s="209"/>
      <c r="BJ74" s="209">
        <f>COUNTIF(F74:AJ74,"L3")+COUNTIF(F74:AJ74,"L3, LC2")</f>
        <v>0</v>
      </c>
      <c r="BK74" s="235">
        <f t="shared" si="8"/>
        <v>0</v>
      </c>
      <c r="BL74" s="273">
        <f t="shared" si="21"/>
        <v>15</v>
      </c>
      <c r="BM74" s="201"/>
      <c r="BN74" s="201"/>
      <c r="BO74" s="201"/>
      <c r="BP74" s="201"/>
      <c r="BQ74" s="201"/>
      <c r="BR74" s="201"/>
      <c r="BS74" s="201"/>
      <c r="BT74" s="201"/>
      <c r="BU74" s="201"/>
      <c r="BV74" s="201"/>
      <c r="BW74" s="201"/>
      <c r="BX74" s="201"/>
      <c r="BY74" s="201"/>
      <c r="BZ74" s="201"/>
      <c r="CA74" s="201"/>
      <c r="CB74" s="201"/>
      <c r="CC74" s="201"/>
      <c r="CD74" s="201"/>
      <c r="CE74" s="201"/>
      <c r="CF74" s="201"/>
      <c r="CG74" s="201"/>
      <c r="CH74" s="201"/>
      <c r="CI74" s="201"/>
      <c r="CJ74" s="201"/>
      <c r="CK74" s="201"/>
    </row>
    <row r="75" spans="1:89" s="63" customFormat="1" ht="22.8">
      <c r="A75" s="228">
        <v>49</v>
      </c>
      <c r="B75" s="191" t="s">
        <v>24</v>
      </c>
      <c r="C75" s="164">
        <v>8328</v>
      </c>
      <c r="D75" s="165" t="s">
        <v>552</v>
      </c>
      <c r="E75" s="186" t="s">
        <v>38</v>
      </c>
      <c r="F75" s="187">
        <v>3</v>
      </c>
      <c r="G75" s="188">
        <v>3</v>
      </c>
      <c r="H75" s="188">
        <v>3</v>
      </c>
      <c r="I75" s="188">
        <v>3</v>
      </c>
      <c r="J75" s="188">
        <v>3</v>
      </c>
      <c r="K75" s="188">
        <v>3</v>
      </c>
      <c r="L75" s="188"/>
      <c r="M75" s="188"/>
      <c r="N75" s="188"/>
      <c r="O75" s="188"/>
      <c r="P75" s="188"/>
      <c r="Q75" s="188"/>
      <c r="R75" s="188"/>
      <c r="S75" s="188">
        <v>3</v>
      </c>
      <c r="T75" s="188">
        <v>3</v>
      </c>
      <c r="U75" s="188"/>
      <c r="V75" s="188">
        <v>3</v>
      </c>
      <c r="W75" s="188"/>
      <c r="X75" s="188">
        <v>3</v>
      </c>
      <c r="Y75" s="188">
        <v>3</v>
      </c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9"/>
      <c r="AK75" s="264">
        <f t="shared" si="9"/>
        <v>0</v>
      </c>
      <c r="AL75" s="265">
        <f t="shared" si="10"/>
        <v>0</v>
      </c>
      <c r="AM75" s="266">
        <f t="shared" si="11"/>
        <v>0</v>
      </c>
      <c r="AN75" s="266"/>
      <c r="AO75" s="266">
        <f t="shared" si="12"/>
        <v>0</v>
      </c>
      <c r="AP75" s="266"/>
      <c r="AQ75" s="266">
        <f t="shared" si="13"/>
        <v>0</v>
      </c>
      <c r="AR75" s="266">
        <f t="shared" si="14"/>
        <v>0</v>
      </c>
      <c r="AS75" s="266"/>
      <c r="AT75" s="266">
        <f t="shared" si="15"/>
        <v>0</v>
      </c>
      <c r="AU75" s="266">
        <f t="shared" si="16"/>
        <v>0</v>
      </c>
      <c r="AV75" s="266">
        <f t="shared" si="17"/>
        <v>0</v>
      </c>
      <c r="AW75" s="207"/>
      <c r="AX75" s="207"/>
      <c r="AY75" s="209">
        <f t="shared" si="29"/>
        <v>0</v>
      </c>
      <c r="AZ75" s="210">
        <f t="shared" si="30"/>
        <v>11</v>
      </c>
      <c r="BA75" s="268">
        <f t="shared" si="20"/>
        <v>11</v>
      </c>
      <c r="BB75" s="211">
        <f>COUNTIF(F75:AJ75,"L1")+COUNTIF(F75:AJ75,"L1, LC1")</f>
        <v>0</v>
      </c>
      <c r="BC75" s="212">
        <f>COUNTIF(F75:AJ75,"LS2")*0.5+COUNTIF(F75:AJ75,"L2, LS2")*0.5+COUNTIF(F75:AJ75,"LS2, LC1")*0.5+COUNTIF(F75:AJ75,"H2, S2")*0.5</f>
        <v>0</v>
      </c>
      <c r="BD75" s="212">
        <f>COUNTIF(F75:AJ75,"L2")+COUNTIF(F75:AJ75,"L2, LS2")</f>
        <v>0</v>
      </c>
      <c r="BE75" s="212">
        <f>COUNTIF(F75:AJ75,"LC1")*0.5+COUNTIF(F75:AJ75,"LS2, LC1")*0.5+COUNTIF(F75:AJ75,"L1, LC1")*0.5+COUNTIF(F75:AJ75,"LC1, LC2")*0.5</f>
        <v>0</v>
      </c>
      <c r="BF75" s="212">
        <f>COUNTIF(F75:AJ75,"LC2")*0.5+COUNTIF(F75:AJ75,"L3, LC2")*0.5+COUNTIF(F75:AJ75,"LC1, LC2")*0.5</f>
        <v>0</v>
      </c>
      <c r="BG75" s="212">
        <f>COUNTIF(F75:AJ75,"LHC")+COUNTIF(F75:AJ75,"LHC, H3")</f>
        <v>0</v>
      </c>
      <c r="BH75" s="234">
        <f t="shared" si="6"/>
        <v>0</v>
      </c>
      <c r="BI75" s="209"/>
      <c r="BJ75" s="209">
        <f>COUNTIF(F75:AJ75,"L3")+COUNTIF(F75:AJ75,"L3, LC2")</f>
        <v>0</v>
      </c>
      <c r="BK75" s="235">
        <f t="shared" si="8"/>
        <v>0</v>
      </c>
      <c r="BL75" s="273">
        <f t="shared" si="21"/>
        <v>11</v>
      </c>
      <c r="BM75" s="201"/>
      <c r="BN75" s="201"/>
      <c r="BO75" s="201"/>
      <c r="BP75" s="201"/>
      <c r="BQ75" s="201"/>
      <c r="BR75" s="201"/>
      <c r="BS75" s="201"/>
      <c r="BT75" s="201"/>
      <c r="BU75" s="201"/>
      <c r="BV75" s="201"/>
      <c r="BW75" s="201"/>
      <c r="BX75" s="201"/>
      <c r="BY75" s="201"/>
      <c r="BZ75" s="201"/>
      <c r="CA75" s="201"/>
      <c r="CB75" s="201"/>
      <c r="CC75" s="201"/>
      <c r="CD75" s="201"/>
      <c r="CE75" s="201"/>
      <c r="CF75" s="201"/>
      <c r="CG75" s="201"/>
      <c r="CH75" s="201"/>
      <c r="CI75" s="201"/>
      <c r="CJ75" s="201"/>
      <c r="CK75" s="201"/>
    </row>
    <row r="76" spans="1:89" ht="16.2" thickBot="1">
      <c r="A76" s="250"/>
      <c r="B76" s="218"/>
      <c r="C76" s="251"/>
      <c r="D76" s="277"/>
      <c r="E76" s="218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  <c r="AH76" s="216"/>
      <c r="AI76" s="216"/>
      <c r="AJ76" s="217"/>
      <c r="AK76" s="218"/>
      <c r="AL76" s="218"/>
      <c r="AM76" s="218"/>
      <c r="AN76" s="218"/>
      <c r="AO76" s="218"/>
      <c r="AP76" s="218"/>
      <c r="AQ76" s="218"/>
      <c r="AR76" s="218"/>
      <c r="AS76" s="218"/>
      <c r="AT76" s="218"/>
      <c r="AU76" s="218"/>
      <c r="AV76" s="218"/>
      <c r="AW76" s="218"/>
      <c r="AX76" s="218"/>
      <c r="AY76" s="218"/>
      <c r="AZ76" s="218"/>
      <c r="BA76" s="218"/>
      <c r="BB76" s="218"/>
      <c r="BC76" s="218"/>
      <c r="BD76" s="218"/>
      <c r="BE76" s="218"/>
      <c r="BF76" s="218"/>
      <c r="BG76" s="218"/>
      <c r="BH76" s="218"/>
      <c r="BI76" s="218"/>
      <c r="BJ76" s="218"/>
      <c r="BK76" s="218"/>
      <c r="BL76" s="218"/>
      <c r="BM76" s="197"/>
      <c r="BN76" s="197"/>
      <c r="BO76" s="197"/>
      <c r="BP76" s="197"/>
      <c r="BQ76" s="197"/>
      <c r="BR76" s="197"/>
      <c r="BS76" s="197"/>
      <c r="BT76" s="197"/>
      <c r="BU76" s="197"/>
      <c r="BV76" s="197"/>
      <c r="BW76" s="197"/>
      <c r="BX76" s="197"/>
      <c r="BY76" s="197"/>
      <c r="BZ76" s="197"/>
      <c r="CA76" s="197"/>
      <c r="CB76" s="197"/>
      <c r="CC76" s="197"/>
      <c r="CD76" s="197"/>
      <c r="CE76" s="197"/>
      <c r="CF76" s="197"/>
      <c r="CG76" s="197"/>
      <c r="CH76" s="197"/>
      <c r="CI76" s="197"/>
      <c r="CJ76" s="197"/>
      <c r="CK76" s="197"/>
    </row>
    <row r="77" spans="1:89">
      <c r="A77" s="199"/>
      <c r="B77" s="199"/>
      <c r="C77" s="199"/>
      <c r="D77" s="305" t="s">
        <v>69</v>
      </c>
      <c r="E77" s="306"/>
      <c r="F77" s="219">
        <f>COUNTIF(F14:F37,"HC")+COUNTIF(F14:F37,"1")+COUNTIF(F14:F37,"2")+COUNTIF(F14:F37,"3")+COUNTIF(F14:F37,"S1")*0.5+COUNTIF(F14:F37,"S2")*0.5+COUNTIF(F14:F37,"C1")*0.5+COUNTIF(F14:F37,"C2")*0.5+COUNTIF(F14:F37,"1, C1")*1.5+COUNTIF(F14:F37,"S2, C1")+COUNTIF(F14:F37,"2, S2")*1.5+COUNTIF(F14:F37,"3, C2")*1.5+COUNTIF(F14:F37,"H3, HC")*1.375+COUNTIF(F14:F37,"H1, HC")*1.125+COUNTIF(F14:F37,"C1, C2")+COUNTIF(F14:F37,"LHC")+COUNTIF(F14:F37,"L1")+COUNTIF(F14:F37,"L2")+COUNTIF(F14:F37,"L3")+COUNTIF(F14:F37,"LS1")*0.5+COUNTIF(F14:F37,"LS2")*0.5+COUNTIF(F14:F37,"LC1")*0.5+COUNTIF(F14:F37,"LC2")*0.5+COUNTIF(F14:F37,"L1, LC1")*1.5+COUNTIF(F14:F37,"LS2, LC1")+COUNTIF(F14:F37,"L2, LS2")*1.5+COUNTIF(F14:F37,"L3, LC2")*1.5+COUNTIF(F14:F37,"LH3, HC")*1.375+COUNTIF(F14:F37,"LC1, LC2")</f>
        <v>16.5</v>
      </c>
      <c r="G77" s="219">
        <f t="shared" ref="G77:AI77" si="32">COUNTIF(G14:G37,"HC")+COUNTIF(G14:G37,"1")+COUNTIF(G14:G37,"2")+COUNTIF(G14:G37,"3")+COUNTIF(G14:G37,"S1")*0.5+COUNTIF(G14:G37,"S2")*0.5+COUNTIF(G14:G37,"C1")*0.5+COUNTIF(G14:G37,"C2")*0.5+COUNTIF(G14:G37,"1, C1")*1.5+COUNTIF(G14:G37,"S2, C1")+COUNTIF(G14:G37,"2, S2")*1.5+COUNTIF(G14:G37,"3, C2")*1.5+COUNTIF(G14:G37,"H3, HC")*1.375+COUNTIF(G14:G37,"H1, HC")*1.125+COUNTIF(G14:G37,"C1, C2")+COUNTIF(G14:G37,"LHC")+COUNTIF(G14:G37,"L1")+COUNTIF(G14:G37,"L2")+COUNTIF(G14:G37,"L3")+COUNTIF(G14:G37,"LS1")*0.5+COUNTIF(G14:G37,"LS2")*0.5+COUNTIF(G14:G37,"LC1")*0.5+COUNTIF(G14:G37,"LC2")*0.5+COUNTIF(G14:G37,"L1, LC1")*1.5+COUNTIF(G14:G37,"LS2, LC1")+COUNTIF(G14:G37,"L2, LS2")*1.5+COUNTIF(G14:G37,"L3, LC2")*1.5+COUNTIF(G14:G37,"LH3, HC")*1.375+COUNTIF(G14:G37,"LC1, LC2")</f>
        <v>12</v>
      </c>
      <c r="H77" s="219">
        <f t="shared" si="32"/>
        <v>13</v>
      </c>
      <c r="I77" s="219">
        <f t="shared" si="32"/>
        <v>15</v>
      </c>
      <c r="J77" s="219">
        <f t="shared" si="32"/>
        <v>14</v>
      </c>
      <c r="K77" s="219">
        <f t="shared" si="32"/>
        <v>9</v>
      </c>
      <c r="L77" s="219">
        <f t="shared" si="32"/>
        <v>11</v>
      </c>
      <c r="M77" s="219">
        <f t="shared" si="32"/>
        <v>6</v>
      </c>
      <c r="N77" s="219">
        <f t="shared" si="32"/>
        <v>9.5</v>
      </c>
      <c r="O77" s="219">
        <f t="shared" si="32"/>
        <v>11</v>
      </c>
      <c r="P77" s="219">
        <f t="shared" si="32"/>
        <v>9.5</v>
      </c>
      <c r="Q77" s="219">
        <f t="shared" si="32"/>
        <v>9</v>
      </c>
      <c r="R77" s="219">
        <f>COUNTIF(R14:R37,"HC")+COUNTIF(R14:R37,"1")+COUNTIF(R14:R37,"2")+COUNTIF(R14:R37,"3")+COUNTIF(R14:R37,"S1")*0.5+COUNTIF(R14:R37,"S2")*0.5+COUNTIF(R14:R37,"C1")*0.5+COUNTIF(R14:R37,"C2")*0.5+COUNTIF(R14:R37,"1, C1")*1.5+COUNTIF(R14:R37,"S2, C1")+COUNTIF(R14:R37,"2, S2")*1.5+COUNTIF(R14:R37,"3, C2")*1.5+COUNTIF(R14:R37,"H3, HC")*1.375+COUNTIF(R14:R37,"H1, HC")*1.125+COUNTIF(R14:R37,"C1, C2")+COUNTIF(R14:R37,"LHC")+COUNTIF(R14:R37,"L1")+COUNTIF(R14:R37,"L2")+COUNTIF(R14:R37,"L3")+COUNTIF(R14:R37,"LS1")*0.5+COUNTIF(R14:R37,"LS2")*0.5+COUNTIF(R14:R37,"LC1")*0.5+COUNTIF(R14:R37,"LC2")*0.5+COUNTIF(R14:R37,"L1, LC1")*1.5+COUNTIF(R14:R37,"LS2, LC1")+COUNTIF(R14:R37,"L2, LS2")*1.5+COUNTIF(R14:R37,"L3, LC2")*1.5+COUNTIF(R14:R37,"LH3, HC")*1.375+COUNTIF(R14:R37,"LC1, LC2")</f>
        <v>10.5</v>
      </c>
      <c r="S77" s="219">
        <f t="shared" si="32"/>
        <v>12.5</v>
      </c>
      <c r="T77" s="219">
        <f t="shared" si="32"/>
        <v>11</v>
      </c>
      <c r="U77" s="219">
        <f t="shared" si="32"/>
        <v>11</v>
      </c>
      <c r="V77" s="219">
        <f t="shared" si="32"/>
        <v>8</v>
      </c>
      <c r="W77" s="219">
        <f t="shared" si="32"/>
        <v>9</v>
      </c>
      <c r="X77" s="219">
        <f t="shared" si="32"/>
        <v>11</v>
      </c>
      <c r="Y77" s="219">
        <f t="shared" si="32"/>
        <v>7.5</v>
      </c>
      <c r="Z77" s="219">
        <f t="shared" si="32"/>
        <v>11</v>
      </c>
      <c r="AA77" s="219">
        <f t="shared" si="32"/>
        <v>8</v>
      </c>
      <c r="AB77" s="219">
        <f t="shared" si="32"/>
        <v>12</v>
      </c>
      <c r="AC77" s="219">
        <f t="shared" si="32"/>
        <v>11</v>
      </c>
      <c r="AD77" s="219">
        <f t="shared" si="32"/>
        <v>14</v>
      </c>
      <c r="AE77" s="219">
        <f t="shared" si="32"/>
        <v>8.5</v>
      </c>
      <c r="AF77" s="219">
        <f t="shared" si="32"/>
        <v>10</v>
      </c>
      <c r="AG77" s="219">
        <f t="shared" si="32"/>
        <v>9</v>
      </c>
      <c r="AH77" s="219">
        <f t="shared" si="32"/>
        <v>6</v>
      </c>
      <c r="AI77" s="219">
        <f t="shared" si="32"/>
        <v>4.5</v>
      </c>
      <c r="AJ77" s="219">
        <f>COUNTIF(AJ14:AJ33,"HC")+COUNTIF(AJ14:AJ33,"1")+COUNTIF(AJ14:AJ33,"2")+COUNTIF(AJ14:AJ33,"3")+COUNTIF(AJ14:AJ33,"S1")*0.5+COUNTIF(AJ14:AJ33,"S2")*0.5+COUNTIF(AJ14:AJ33,"C1")*0.5+COUNTIF(AJ14:AJ33,"C2")*0.5+COUNTIF(AJ14:AJ33,"1, C1")*1.5+COUNTIF(AJ14:AJ33,"S2, C1")+COUNTIF(AJ14:AJ33,"2, S2")*1.5+COUNTIF(AJ14:AJ33,"3, C2")*1.5+COUNTIF(AJ14:AJ33,"H3, HC")*1.375+COUNTIF(AJ14:AJ33,"H1, HC")*1.125+COUNTIF(AJ14:AJ33,"C1, C2")+COUNTIF(AJ14:AJ33,"LHC")+COUNTIF(AJ14:AJ33,"L1")+COUNTIF(AJ14:AJ33,"L2")+COUNTIF(AJ14:AJ33,"L3")+COUNTIF(AJ14:AJ33,"LS1")*0.5+COUNTIF(AJ14:AJ33,"LS2")*0.5+COUNTIF(AJ14:AJ33,"LC1")*0.5+COUNTIF(AJ14:AJ33,"LC2")*0.5+COUNTIF(AJ14:AJ33,"L1, LC1")*1.5+COUNTIF(AJ14:AJ33,"LS2, LC1")+COUNTIF(AJ14:AJ33,"L2, LS2")*1.5+COUNTIF(AJ14:AJ33,"L3, LC2")*1.5+COUNTIF(AJ14:AJ33,"LH3, HC")*1.375+COUNTIF(AJ14:AJ33,"LC1, LC2")</f>
        <v>0</v>
      </c>
      <c r="AK77" s="219">
        <f>COUNTIF(AK14:AK37,"HC")+COUNTIF(AK14:AK37,"1")+COUNTIF(AK14:AK37,"2")+COUNTIF(AK14:AK37,"3")+COUNTIF(AK14:AK37,"S1")*0.5+COUNTIF(AK14:AK37,"S2")*0.5+COUNTIF(AK14:AK37,"C1")*0.5+COUNTIF(AK14:AK37,"C2")*0.5+COUNTIF(AK14:AK37,"1, C1")*1.5+COUNTIF(AK14:AK37,"S2, C1")+COUNTIF(AK14:AK37,"2, S2")*1.5+COUNTIF(AK14:AK37,"3, C2")*1.5+COUNTIF(AK14:AK37,"H3, HC")*1.375+COUNTIF(AK14:AK37,"H1, HC")*1.125+COUNTIF(AK14:AK37,"C1, C2")+COUNTIF(AK14:AK37,"LHC")+COUNTIF(AK14:AK37,"L1")+COUNTIF(AK14:AK37,"L2")+COUNTIF(AK14:AK37,"L3")+COUNTIF(AK14:AK37,"LS1")*0.5+COUNTIF(AK14:AK37,"LS2")*0.5+COUNTIF(AK14:AK37,"LC1")*0.5+COUNTIF(AK14:AK37,"LC2")*0.5+COUNTIF(AK14:AK37,"L1, LC1")*1.5+COUNTIF(AK14:AK37,"LS2, LC1")+COUNTIF(AK14:AK37,"L2, LS2")*1.5+COUNTIF(AK14:AK37,"L3, LC2")*1.5+COUNTIF(AK14:AK37,"LH3, HC")*1.375+COUNTIF(AK14:AK37,"LC1, LC2")</f>
        <v>11</v>
      </c>
      <c r="AL77" s="219">
        <f t="shared" ref="AL77:AV77" si="33">COUNTIF(AL14:AL37,"HC")+COUNTIF(AL14:AL37,"1")+COUNTIF(AL14:AL37,"2")+COUNTIF(AL14:AL37,"3")+COUNTIF(AL14:AL37,"S1")*0.5+COUNTIF(AL14:AL37,"S2")*0.5+COUNTIF(AL14:AL37,"C1")*0.5+COUNTIF(AL14:AL37,"C2")*0.5+COUNTIF(AL14:AL37,"1, C1")*1.5+COUNTIF(AL14:AL37,"S2, C1")+COUNTIF(AL14:AL37,"2, S2")*1.5+COUNTIF(AL14:AL37,"3, C2")*1.5+COUNTIF(AL14:AL37,"H3, HC")*1.375+COUNTIF(AL14:AL37,"H1, HC")*1.125+COUNTIF(AL14:AL37,"C1, C2")+COUNTIF(AL14:AL37,"LHC")+COUNTIF(AL14:AL37,"L1")+COUNTIF(AL14:AL37,"L2")+COUNTIF(AL14:AL37,"L3")+COUNTIF(AL14:AL37,"LS1")*0.5+COUNTIF(AL14:AL37,"LS2")*0.5+COUNTIF(AL14:AL37,"LC1")*0.5+COUNTIF(AL14:AL37,"LC2")*0.5+COUNTIF(AL14:AL37,"L1, LC1")*1.5+COUNTIF(AL14:AL37,"LS2, LC1")+COUNTIF(AL14:AL37,"L2, LS2")*1.5+COUNTIF(AL14:AL37,"L3, LC2")*1.5+COUNTIF(AL14:AL37,"LH3, HC")*1.375+COUNTIF(AL14:AL37,"LC1, LC2")</f>
        <v>0</v>
      </c>
      <c r="AM77" s="219">
        <f t="shared" si="33"/>
        <v>9</v>
      </c>
      <c r="AN77" s="219">
        <f t="shared" si="33"/>
        <v>0</v>
      </c>
      <c r="AO77" s="219">
        <f t="shared" si="33"/>
        <v>0</v>
      </c>
      <c r="AP77" s="219">
        <f t="shared" si="33"/>
        <v>0</v>
      </c>
      <c r="AQ77" s="219">
        <f t="shared" si="33"/>
        <v>7</v>
      </c>
      <c r="AR77" s="219">
        <f t="shared" si="33"/>
        <v>5</v>
      </c>
      <c r="AS77" s="219">
        <f t="shared" si="33"/>
        <v>0</v>
      </c>
      <c r="AT77" s="219">
        <f>COUNTIF(AT14:AT37,"HC")+COUNTIF(AT14:AT37,"1")+COUNTIF(AT14:AT37,"2")+COUNTIF(AT14:AT37,"3")+COUNTIF(AT14:AT37,"S1")*0.5+COUNTIF(AT14:AT37,"S2")*0.5+COUNTIF(AT14:AT37,"C1")*0.5+COUNTIF(AT14:AT37,"C2")*0.5+COUNTIF(AT14:AT37,"1, C1")*1.5+COUNTIF(AT14:AT37,"S2, C1")+COUNTIF(AT14:AT37,"2, S2")*1.5+COUNTIF(AT14:AT37,"3, C2")*1.5+COUNTIF(AT14:AT37,"H3, HC")*1.375+COUNTIF(AT14:AT37,"H1, HC")*1.125+COUNTIF(AT14:AT37,"C1, C2")+COUNTIF(AT14:AT37,"LHC")+COUNTIF(AT14:AT37,"L1")+COUNTIF(AT14:AT37,"L2")+COUNTIF(AT14:AT37,"L3")+COUNTIF(AT14:AT37,"LS1")*0.5+COUNTIF(AT14:AT37,"LS2")*0.5+COUNTIF(AT14:AT37,"LC1")*0.5+COUNTIF(AT14:AT37,"LC2")*0.5+COUNTIF(AT14:AT37,"L1, LC1")*1.5+COUNTIF(AT14:AT37,"LS2, LC1")+COUNTIF(AT14:AT37,"L2, LS2")*1.5+COUNTIF(AT14:AT37,"L3, LC2")*1.5+COUNTIF(AT14:AT37,"LH3, HC")*1.375+COUNTIF(AT14:AT37,"LC1, LC2")</f>
        <v>0</v>
      </c>
      <c r="AU77" s="219">
        <f t="shared" si="33"/>
        <v>7</v>
      </c>
      <c r="AV77" s="219">
        <f t="shared" si="33"/>
        <v>10</v>
      </c>
      <c r="AW77" s="220">
        <f t="shared" ref="AW77:BL77" si="34">SUM(AW14:AW33)</f>
        <v>275.5</v>
      </c>
      <c r="AX77" s="220">
        <f t="shared" si="34"/>
        <v>36</v>
      </c>
      <c r="AY77" s="220">
        <f t="shared" si="34"/>
        <v>0</v>
      </c>
      <c r="AZ77" s="220">
        <f t="shared" si="34"/>
        <v>0</v>
      </c>
      <c r="BA77" s="220">
        <f t="shared" si="34"/>
        <v>311.5</v>
      </c>
      <c r="BB77" s="220">
        <f t="shared" si="34"/>
        <v>0</v>
      </c>
      <c r="BC77" s="220">
        <f t="shared" si="34"/>
        <v>0</v>
      </c>
      <c r="BD77" s="220">
        <f t="shared" si="34"/>
        <v>0</v>
      </c>
      <c r="BE77" s="220">
        <f t="shared" si="34"/>
        <v>0</v>
      </c>
      <c r="BF77" s="220">
        <f t="shared" si="34"/>
        <v>0</v>
      </c>
      <c r="BG77" s="220">
        <f t="shared" si="34"/>
        <v>0</v>
      </c>
      <c r="BH77" s="220">
        <f t="shared" si="34"/>
        <v>0</v>
      </c>
      <c r="BI77" s="220">
        <f t="shared" si="34"/>
        <v>0</v>
      </c>
      <c r="BJ77" s="220">
        <f t="shared" si="34"/>
        <v>0</v>
      </c>
      <c r="BK77" s="220">
        <f t="shared" si="34"/>
        <v>0</v>
      </c>
      <c r="BL77" s="220">
        <f t="shared" si="34"/>
        <v>311.5</v>
      </c>
      <c r="BM77" s="197"/>
      <c r="BN77" s="197"/>
      <c r="BO77" s="197"/>
      <c r="BP77" s="197"/>
      <c r="BQ77" s="197"/>
      <c r="BR77" s="197"/>
      <c r="BS77" s="197"/>
      <c r="BT77" s="197"/>
      <c r="BU77" s="197"/>
      <c r="BV77" s="197"/>
      <c r="BW77" s="197"/>
      <c r="BX77" s="197"/>
      <c r="BY77" s="197"/>
      <c r="BZ77" s="197"/>
      <c r="CA77" s="197"/>
      <c r="CB77" s="197"/>
      <c r="CC77" s="197"/>
      <c r="CD77" s="197"/>
      <c r="CE77" s="197"/>
      <c r="CF77" s="197"/>
      <c r="CG77" s="197"/>
      <c r="CH77" s="197"/>
      <c r="CI77" s="197"/>
      <c r="CJ77" s="197"/>
      <c r="CK77" s="197"/>
    </row>
    <row r="78" spans="1:89">
      <c r="A78" s="199"/>
      <c r="B78" s="199"/>
      <c r="C78" s="199"/>
      <c r="D78" s="307" t="s">
        <v>70</v>
      </c>
      <c r="E78" s="308"/>
      <c r="F78" s="219">
        <f>COUNTIF(F38:F75,"HC")+COUNTIF(F38:F75,"1")+COUNTIF(F38:F75,"2")+COUNTIF(F38:F75,"3")+COUNTIF(F38:F75,"S1")*0.5+COUNTIF(F38:F75,"S2")*0.5+COUNTIF(F38:F75,"C1")*0.5+COUNTIF(F38:F75,"C2")*0.5+COUNTIF(F38:F75,"1, C1")*1.5+COUNTIF(F38:F75,"S2, C1")+COUNTIF(F38:F75,"2, S2")*1.5+COUNTIF(F38:F75,"3, C2")*1.5+COUNTIF(F38:F75,"H3, HC")*1.375+COUNTIF(F38:F75,"H1, HC")*1.125+COUNTIF(F38:F75,"C1, C2")+COUNTIF(F38:F75,"LHC")+COUNTIF(F38:F75,"L1")+COUNTIF(F38:F75,"L2")+COUNTIF(F38:F75,"L3")+COUNTIF(F38:F75,"LS1")*0.5+COUNTIF(F38:F75,"LS2")*0.5+COUNTIF(F38:F75,"LC1")*0.5+COUNTIF(F38:F75,"LC2")*0.5+COUNTIF(F38:F75,"L1, LC1")*1.5+COUNTIF(F38:F75,"LS2, LC1")+COUNTIF(F38:F75,"L2, LS2")*1.5+COUNTIF(F38:F75,"L3, LC2")*1.5+COUNTIF(F38:F75,"LH3, HC")*1.375+COUNTIF(F38:F75,"LC1, LC2")</f>
        <v>26.875</v>
      </c>
      <c r="G78" s="219">
        <f t="shared" ref="G78:AI78" si="35">COUNTIF(G38:G75,"HC")+COUNTIF(G38:G75,"1")+COUNTIF(G38:G75,"2")+COUNTIF(G38:G75,"3")+COUNTIF(G38:G75,"S1")*0.5+COUNTIF(G38:G75,"S2")*0.5+COUNTIF(G38:G75,"C1")*0.5+COUNTIF(G38:G75,"C2")*0.5+COUNTIF(G38:G75,"1, C1")*1.5+COUNTIF(G38:G75,"S2, C1")+COUNTIF(G38:G75,"2, S2")*1.5+COUNTIF(G38:G75,"3, C2")*1.5+COUNTIF(G38:G75,"H3, HC")*1.375+COUNTIF(G38:G75,"H1, HC")*1.125+COUNTIF(G38:G75,"C1, C2")+COUNTIF(G38:G75,"LHC")+COUNTIF(G38:G75,"L1")+COUNTIF(G38:G75,"L2")+COUNTIF(G38:G75,"L3")+COUNTIF(G38:G75,"LS1")*0.5+COUNTIF(G38:G75,"LS2")*0.5+COUNTIF(G38:G75,"LC1")*0.5+COUNTIF(G38:G75,"LC2")*0.5+COUNTIF(G38:G75,"L1, LC1")*1.5+COUNTIF(G38:G75,"LS2, LC1")+COUNTIF(G38:G75,"L2, LS2")*1.5+COUNTIF(G38:G75,"L3, LC2")*1.5+COUNTIF(G38:G75,"LH3, HC")*1.375+COUNTIF(G38:G75,"LC1, LC2")</f>
        <v>30.875</v>
      </c>
      <c r="H78" s="219">
        <f t="shared" si="35"/>
        <v>29.375</v>
      </c>
      <c r="I78" s="219">
        <f t="shared" si="35"/>
        <v>30.375</v>
      </c>
      <c r="J78" s="219">
        <f t="shared" si="35"/>
        <v>30.875</v>
      </c>
      <c r="K78" s="219">
        <f t="shared" si="35"/>
        <v>26</v>
      </c>
      <c r="L78" s="219">
        <f t="shared" si="35"/>
        <v>16</v>
      </c>
      <c r="M78" s="219">
        <f t="shared" si="35"/>
        <v>35.375</v>
      </c>
      <c r="N78" s="219">
        <f t="shared" si="35"/>
        <v>33.375</v>
      </c>
      <c r="O78" s="219">
        <f t="shared" si="35"/>
        <v>29.875</v>
      </c>
      <c r="P78" s="219">
        <f t="shared" si="35"/>
        <v>32.375</v>
      </c>
      <c r="Q78" s="219">
        <f t="shared" si="35"/>
        <v>28.875</v>
      </c>
      <c r="R78" s="219">
        <f t="shared" si="35"/>
        <v>28</v>
      </c>
      <c r="S78" s="219">
        <f t="shared" si="35"/>
        <v>19.5</v>
      </c>
      <c r="T78" s="219">
        <f t="shared" si="35"/>
        <v>32.25</v>
      </c>
      <c r="U78" s="219">
        <f t="shared" si="35"/>
        <v>28.75</v>
      </c>
      <c r="V78" s="219">
        <f t="shared" si="35"/>
        <v>29.25</v>
      </c>
      <c r="W78" s="219">
        <f t="shared" si="35"/>
        <v>25.5</v>
      </c>
      <c r="X78" s="219">
        <f t="shared" si="35"/>
        <v>26.125</v>
      </c>
      <c r="Y78" s="219">
        <f t="shared" si="35"/>
        <v>23.375</v>
      </c>
      <c r="Z78" s="219">
        <f t="shared" si="35"/>
        <v>18</v>
      </c>
      <c r="AA78" s="219">
        <f t="shared" si="35"/>
        <v>30.5</v>
      </c>
      <c r="AB78" s="219">
        <f t="shared" si="35"/>
        <v>29</v>
      </c>
      <c r="AC78" s="219">
        <f t="shared" si="35"/>
        <v>27.5</v>
      </c>
      <c r="AD78" s="219">
        <f t="shared" si="35"/>
        <v>26</v>
      </c>
      <c r="AE78" s="219">
        <f t="shared" si="35"/>
        <v>29.5</v>
      </c>
      <c r="AF78" s="219">
        <f t="shared" si="35"/>
        <v>23.5</v>
      </c>
      <c r="AG78" s="219">
        <f t="shared" si="35"/>
        <v>21.5</v>
      </c>
      <c r="AH78" s="219">
        <f t="shared" si="35"/>
        <v>29.5</v>
      </c>
      <c r="AI78" s="219">
        <f t="shared" si="35"/>
        <v>32</v>
      </c>
      <c r="AJ78" s="219">
        <f>COUNTIF(AJ34:AJ75,"HC")+COUNTIF(AJ34:AJ75,"1")+COUNTIF(AJ34:AJ75,"2")+COUNTIF(AJ34:AJ75,"3")+COUNTIF(AJ34:AJ75,"S1")*0.5+COUNTIF(AJ34:AJ75,"S2")*0.5+COUNTIF(AJ34:AJ75,"C1")*0.5+COUNTIF(AJ34:AJ75,"C2")*0.5+COUNTIF(AJ34:AJ75,"1, C1")*1.5+COUNTIF(AJ34:AJ75,"S2, C1")+COUNTIF(AJ34:AJ75,"2, S2")*1.5+COUNTIF(AJ34:AJ75,"3, C2")*1.5+COUNTIF(AJ34:AJ75,"H3, HC")*1.375+COUNTIF(AJ34:AJ75,"H1, HC")*1.125+COUNTIF(AJ34:AJ75,"C1, C2")+COUNTIF(AJ34:AJ75,"LHC")+COUNTIF(AJ34:AJ75,"L1")+COUNTIF(AJ34:AJ75,"L2")+COUNTIF(AJ34:AJ75,"L3")+COUNTIF(AJ34:AJ75,"LS1")*0.5+COUNTIF(AJ34:AJ75,"LS2")*0.5+COUNTIF(AJ34:AJ75,"LC1")*0.5+COUNTIF(AJ34:AJ75,"LC2")*0.5+COUNTIF(AJ34:AJ75,"L1, LC1")*1.5+COUNTIF(AJ34:AJ75,"LS2, LC1")+COUNTIF(AJ34:AJ75,"L2, LS2")*1.5+COUNTIF(AJ34:AJ75,"L3, LC2")*1.5+COUNTIF(AJ34:AJ75,"LH3, HC")*1.375+COUNTIF(AJ34:AJ75,"LC1, LC2")</f>
        <v>0</v>
      </c>
      <c r="AK78" s="219">
        <f>COUNTIF(AK38:AK75,"HC")+COUNTIF(AK38:AK75,"1")+COUNTIF(AK38:AK75,"2")+COUNTIF(AK38:AK75,"3")+COUNTIF(AK38:AK75,"S1")*0.5+COUNTIF(AK38:AK75,"S2")*0.5+COUNTIF(AK38:AK75,"C1")*0.5+COUNTIF(AK38:AK75,"C2")*0.5+COUNTIF(AK38:AK75,"1, C1")*1.5+COUNTIF(AK38:AK75,"S2, C1")+COUNTIF(AK38:AK75,"2, S2")*1.5+COUNTIF(AK38:AK75,"3, C2")*1.5+COUNTIF(AK38:AK75,"H3, HC")*1.375+COUNTIF(AK38:AK75,"H1, HC")*1.125+COUNTIF(AK38:AK75,"C1, C2")+COUNTIF(AK38:AK75,"LHC")+COUNTIF(AK38:AK75,"L1")+COUNTIF(AK38:AK75,"L2")+COUNTIF(AK38:AK75,"L3")+COUNTIF(AK38:AK75,"LS1")*0.5+COUNTIF(AK38:AK75,"LS2")*0.5+COUNTIF(AK38:AK75,"LC1")*0.5+COUNTIF(AK38:AK75,"LC2")*0.5+COUNTIF(AK38:AK75,"L1, LC1")*1.5+COUNTIF(AK38:AK75,"LS2, LC1")+COUNTIF(AK38:AK75,"L2, LS2")*1.5+COUNTIF(AK38:AK75,"L3, LC2")*1.5+COUNTIF(AK38:AK75,"LH3, HC")*1.375+COUNTIF(AK38:AK75,"LC1, LC2")</f>
        <v>6</v>
      </c>
      <c r="AL78" s="219">
        <f t="shared" ref="AL78:AV78" si="36">COUNTIF(AL38:AL75,"HC")+COUNTIF(AL38:AL75,"1")+COUNTIF(AL38:AL75,"2")+COUNTIF(AL38:AL75,"3")+COUNTIF(AL38:AL75,"S1")*0.5+COUNTIF(AL38:AL75,"S2")*0.5+COUNTIF(AL38:AL75,"C1")*0.5+COUNTIF(AL38:AL75,"C2")*0.5+COUNTIF(AL38:AL75,"1, C1")*1.5+COUNTIF(AL38:AL75,"S2, C1")+COUNTIF(AL38:AL75,"2, S2")*1.5+COUNTIF(AL38:AL75,"3, C2")*1.5+COUNTIF(AL38:AL75,"H3, HC")*1.375+COUNTIF(AL38:AL75,"H1, HC")*1.125+COUNTIF(AL38:AL75,"C1, C2")+COUNTIF(AL38:AL75,"LHC")+COUNTIF(AL38:AL75,"L1")+COUNTIF(AL38:AL75,"L2")+COUNTIF(AL38:AL75,"L3")+COUNTIF(AL38:AL75,"LS1")*0.5+COUNTIF(AL38:AL75,"LS2")*0.5+COUNTIF(AL38:AL75,"LC1")*0.5+COUNTIF(AL38:AL75,"LC2")*0.5+COUNTIF(AL38:AL75,"L1, LC1")*1.5+COUNTIF(AL38:AL75,"LS2, LC1")+COUNTIF(AL38:AL75,"L2, LS2")*1.5+COUNTIF(AL38:AL75,"L3, LC2")*1.5+COUNTIF(AL38:AL75,"LH3, HC")*1.375+COUNTIF(AL38:AL75,"LC1, LC2")</f>
        <v>0</v>
      </c>
      <c r="AM78" s="219">
        <f t="shared" si="36"/>
        <v>5</v>
      </c>
      <c r="AN78" s="219">
        <f t="shared" si="36"/>
        <v>0</v>
      </c>
      <c r="AO78" s="219">
        <f t="shared" si="36"/>
        <v>0</v>
      </c>
      <c r="AP78" s="219">
        <f t="shared" si="36"/>
        <v>0</v>
      </c>
      <c r="AQ78" s="219">
        <f t="shared" si="36"/>
        <v>5</v>
      </c>
      <c r="AR78" s="219">
        <f t="shared" si="36"/>
        <v>9</v>
      </c>
      <c r="AS78" s="219">
        <f t="shared" si="36"/>
        <v>0</v>
      </c>
      <c r="AT78" s="219">
        <f t="shared" si="36"/>
        <v>0</v>
      </c>
      <c r="AU78" s="219">
        <f t="shared" si="36"/>
        <v>6</v>
      </c>
      <c r="AV78" s="219">
        <f t="shared" si="36"/>
        <v>10</v>
      </c>
      <c r="AW78" s="252">
        <f t="shared" ref="AW78:BG78" si="37">SUM(AW34:AW76)</f>
        <v>0</v>
      </c>
      <c r="AX78" s="252">
        <f t="shared" si="37"/>
        <v>0</v>
      </c>
      <c r="AY78" s="252">
        <f t="shared" si="37"/>
        <v>755.875</v>
      </c>
      <c r="AZ78" s="252">
        <f t="shared" si="37"/>
        <v>171</v>
      </c>
      <c r="BA78" s="252">
        <f t="shared" si="37"/>
        <v>926.875</v>
      </c>
      <c r="BB78" s="252">
        <f t="shared" si="37"/>
        <v>0</v>
      </c>
      <c r="BC78" s="252">
        <f t="shared" si="37"/>
        <v>0</v>
      </c>
      <c r="BD78" s="252">
        <f t="shared" si="37"/>
        <v>0</v>
      </c>
      <c r="BE78" s="252">
        <f t="shared" si="37"/>
        <v>0</v>
      </c>
      <c r="BF78" s="252">
        <f t="shared" si="37"/>
        <v>0</v>
      </c>
      <c r="BG78" s="252">
        <f t="shared" si="37"/>
        <v>0</v>
      </c>
      <c r="BH78" s="252">
        <f>SUM(BH34:BH75)</f>
        <v>0</v>
      </c>
      <c r="BI78" s="252">
        <f>SUM(BI34:BI76)</f>
        <v>0</v>
      </c>
      <c r="BJ78" s="252">
        <f>SUM(BJ34:BJ76)</f>
        <v>0</v>
      </c>
      <c r="BK78" s="252">
        <f>SUM(BK34:BK76)</f>
        <v>0</v>
      </c>
      <c r="BL78" s="252">
        <f>SUM(BL34:BL76)</f>
        <v>926.875</v>
      </c>
      <c r="BM78" s="197"/>
      <c r="BN78" s="197"/>
      <c r="BO78" s="197"/>
      <c r="BP78" s="197"/>
      <c r="BQ78" s="197"/>
      <c r="BR78" s="197"/>
      <c r="BS78" s="197"/>
      <c r="BT78" s="197"/>
      <c r="BU78" s="197"/>
      <c r="BV78" s="197"/>
      <c r="BW78" s="197"/>
      <c r="BX78" s="197"/>
      <c r="BY78" s="197"/>
      <c r="BZ78" s="197"/>
      <c r="CA78" s="197"/>
      <c r="CB78" s="197"/>
      <c r="CC78" s="197"/>
      <c r="CD78" s="197"/>
      <c r="CE78" s="197"/>
      <c r="CF78" s="197"/>
      <c r="CG78" s="197"/>
      <c r="CH78" s="197"/>
      <c r="CI78" s="197"/>
      <c r="CJ78" s="197"/>
      <c r="CK78" s="197"/>
    </row>
    <row r="79" spans="1:89" ht="16.2" thickBot="1">
      <c r="A79" s="199"/>
      <c r="B79" s="199"/>
      <c r="C79" s="199"/>
      <c r="D79" s="309" t="s">
        <v>21</v>
      </c>
      <c r="E79" s="310"/>
      <c r="F79" s="221">
        <f>SUM(F77:F78)</f>
        <v>43.375</v>
      </c>
      <c r="G79" s="221">
        <f t="shared" ref="G79:AJ79" si="38">SUM(G77:G78)</f>
        <v>42.875</v>
      </c>
      <c r="H79" s="221">
        <f t="shared" si="38"/>
        <v>42.375</v>
      </c>
      <c r="I79" s="221">
        <f t="shared" si="38"/>
        <v>45.375</v>
      </c>
      <c r="J79" s="221">
        <f t="shared" si="38"/>
        <v>44.875</v>
      </c>
      <c r="K79" s="221">
        <f t="shared" si="38"/>
        <v>35</v>
      </c>
      <c r="L79" s="221">
        <f t="shared" si="38"/>
        <v>27</v>
      </c>
      <c r="M79" s="221">
        <f t="shared" si="38"/>
        <v>41.375</v>
      </c>
      <c r="N79" s="221">
        <f t="shared" si="38"/>
        <v>42.875</v>
      </c>
      <c r="O79" s="221">
        <f t="shared" si="38"/>
        <v>40.875</v>
      </c>
      <c r="P79" s="221">
        <f t="shared" si="38"/>
        <v>41.875</v>
      </c>
      <c r="Q79" s="221">
        <f t="shared" si="38"/>
        <v>37.875</v>
      </c>
      <c r="R79" s="221">
        <f>SUM(R77:R78)</f>
        <v>38.5</v>
      </c>
      <c r="S79" s="221">
        <f t="shared" si="38"/>
        <v>32</v>
      </c>
      <c r="T79" s="221">
        <f t="shared" si="38"/>
        <v>43.25</v>
      </c>
      <c r="U79" s="221">
        <f t="shared" si="38"/>
        <v>39.75</v>
      </c>
      <c r="V79" s="221">
        <f t="shared" si="38"/>
        <v>37.25</v>
      </c>
      <c r="W79" s="221">
        <f t="shared" si="38"/>
        <v>34.5</v>
      </c>
      <c r="X79" s="221">
        <f t="shared" si="38"/>
        <v>37.125</v>
      </c>
      <c r="Y79" s="221">
        <f t="shared" si="38"/>
        <v>30.875</v>
      </c>
      <c r="Z79" s="221">
        <f t="shared" si="38"/>
        <v>29</v>
      </c>
      <c r="AA79" s="221">
        <f t="shared" si="38"/>
        <v>38.5</v>
      </c>
      <c r="AB79" s="221">
        <f t="shared" si="38"/>
        <v>41</v>
      </c>
      <c r="AC79" s="221">
        <f t="shared" si="38"/>
        <v>38.5</v>
      </c>
      <c r="AD79" s="221">
        <f t="shared" si="38"/>
        <v>40</v>
      </c>
      <c r="AE79" s="221">
        <f t="shared" si="38"/>
        <v>38</v>
      </c>
      <c r="AF79" s="221">
        <f t="shared" si="38"/>
        <v>33.5</v>
      </c>
      <c r="AG79" s="221">
        <f t="shared" si="38"/>
        <v>30.5</v>
      </c>
      <c r="AH79" s="221">
        <f t="shared" si="38"/>
        <v>35.5</v>
      </c>
      <c r="AI79" s="221">
        <f t="shared" si="38"/>
        <v>36.5</v>
      </c>
      <c r="AJ79" s="222">
        <f t="shared" si="38"/>
        <v>0</v>
      </c>
      <c r="AK79" s="253">
        <f>SUM(AK77:AK78)</f>
        <v>17</v>
      </c>
      <c r="AL79" s="253">
        <f t="shared" ref="AL79:AT79" si="39">SUM(AL77:AL78)</f>
        <v>0</v>
      </c>
      <c r="AM79" s="253">
        <f t="shared" si="39"/>
        <v>14</v>
      </c>
      <c r="AN79" s="253">
        <f t="shared" si="39"/>
        <v>0</v>
      </c>
      <c r="AO79" s="253">
        <f t="shared" si="39"/>
        <v>0</v>
      </c>
      <c r="AP79" s="253">
        <f t="shared" si="39"/>
        <v>0</v>
      </c>
      <c r="AQ79" s="253">
        <f t="shared" si="39"/>
        <v>12</v>
      </c>
      <c r="AR79" s="253">
        <f t="shared" si="39"/>
        <v>14</v>
      </c>
      <c r="AS79" s="253">
        <f t="shared" si="39"/>
        <v>0</v>
      </c>
      <c r="AT79" s="253">
        <f t="shared" si="39"/>
        <v>0</v>
      </c>
      <c r="AU79" s="222">
        <f t="shared" ref="AU79:BK79" si="40">SUM(AU77:AU78)</f>
        <v>13</v>
      </c>
      <c r="AV79" s="222">
        <f t="shared" si="40"/>
        <v>20</v>
      </c>
      <c r="AW79" s="222">
        <f t="shared" si="40"/>
        <v>275.5</v>
      </c>
      <c r="AX79" s="222">
        <f t="shared" si="40"/>
        <v>36</v>
      </c>
      <c r="AY79" s="222">
        <f t="shared" si="40"/>
        <v>755.875</v>
      </c>
      <c r="AZ79" s="222">
        <f t="shared" si="40"/>
        <v>171</v>
      </c>
      <c r="BA79" s="223">
        <f>SUM(BA77:BA78)</f>
        <v>1238.375</v>
      </c>
      <c r="BB79" s="221">
        <f t="shared" si="40"/>
        <v>0</v>
      </c>
      <c r="BC79" s="224">
        <f t="shared" si="40"/>
        <v>0</v>
      </c>
      <c r="BD79" s="224">
        <f t="shared" si="40"/>
        <v>0</v>
      </c>
      <c r="BE79" s="224">
        <f t="shared" si="40"/>
        <v>0</v>
      </c>
      <c r="BF79" s="224">
        <f t="shared" si="40"/>
        <v>0</v>
      </c>
      <c r="BG79" s="224">
        <f t="shared" si="40"/>
        <v>0</v>
      </c>
      <c r="BH79" s="224">
        <f t="shared" si="40"/>
        <v>0</v>
      </c>
      <c r="BI79" s="224">
        <f t="shared" si="40"/>
        <v>0</v>
      </c>
      <c r="BJ79" s="224">
        <f t="shared" si="40"/>
        <v>0</v>
      </c>
      <c r="BK79" s="254">
        <f t="shared" si="40"/>
        <v>0</v>
      </c>
      <c r="BL79" s="255">
        <f>BL77+BL78</f>
        <v>1238.375</v>
      </c>
      <c r="BM79" s="197"/>
      <c r="BN79" s="197"/>
      <c r="BO79" s="197"/>
      <c r="BP79" s="197"/>
      <c r="BQ79" s="197"/>
      <c r="BR79" s="197"/>
      <c r="BS79" s="197"/>
      <c r="BT79" s="197"/>
      <c r="BU79" s="197"/>
      <c r="BV79" s="197"/>
      <c r="BW79" s="197"/>
      <c r="BX79" s="197"/>
      <c r="BY79" s="197"/>
      <c r="BZ79" s="197"/>
      <c r="CA79" s="197"/>
      <c r="CB79" s="197"/>
      <c r="CC79" s="197"/>
      <c r="CD79" s="197"/>
      <c r="CE79" s="197"/>
      <c r="CF79" s="197"/>
      <c r="CG79" s="197"/>
      <c r="CH79" s="197"/>
      <c r="CI79" s="197"/>
      <c r="CJ79" s="197"/>
      <c r="CK79" s="197"/>
    </row>
    <row r="80" spans="1:89">
      <c r="A80" s="199"/>
      <c r="B80" s="199"/>
      <c r="C80" s="199"/>
      <c r="D80" s="63"/>
      <c r="E80" s="199"/>
      <c r="F80" s="225"/>
      <c r="G80" s="225"/>
      <c r="H80" s="225"/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  <c r="AA80" s="225"/>
      <c r="AB80" s="225"/>
      <c r="AC80" s="225"/>
      <c r="AD80" s="225"/>
      <c r="AE80" s="225"/>
      <c r="AF80" s="225"/>
      <c r="AG80" s="225"/>
      <c r="AH80" s="225"/>
      <c r="AI80" s="225"/>
      <c r="AJ80" s="225"/>
      <c r="AK80" s="199"/>
      <c r="AL80" s="199"/>
      <c r="AM80" s="199"/>
      <c r="AN80" s="199"/>
      <c r="AO80" s="199"/>
      <c r="AP80" s="199"/>
      <c r="AQ80" s="199"/>
      <c r="AR80" s="199"/>
      <c r="AS80" s="199"/>
      <c r="AT80" s="199"/>
      <c r="AU80" s="199"/>
      <c r="AV80" s="199"/>
      <c r="AW80" s="199"/>
      <c r="AX80" s="199"/>
      <c r="AY80" s="199"/>
      <c r="AZ80" s="199"/>
      <c r="BA80" s="199"/>
      <c r="BB80" s="199"/>
      <c r="BC80" s="199"/>
      <c r="BD80" s="199"/>
      <c r="BE80" s="199"/>
      <c r="BF80" s="199"/>
      <c r="BG80" s="199"/>
      <c r="BH80" s="199"/>
      <c r="BI80" s="199"/>
      <c r="BJ80" s="199"/>
      <c r="BK80" s="199"/>
      <c r="BL80" s="199"/>
    </row>
    <row r="81" spans="1:69">
      <c r="A81" s="199"/>
      <c r="B81" s="199"/>
      <c r="C81" s="199"/>
      <c r="D81" s="63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  <c r="AB81" s="199"/>
      <c r="AC81" s="199"/>
      <c r="AD81" s="199"/>
      <c r="AE81" s="199"/>
      <c r="AF81" s="199"/>
      <c r="AG81" s="199"/>
      <c r="AH81" s="199"/>
      <c r="AI81" s="199"/>
      <c r="AJ81" s="199"/>
      <c r="AK81" s="199"/>
      <c r="AL81" s="199"/>
      <c r="AM81" s="199"/>
      <c r="AN81" s="199"/>
      <c r="AO81" s="199"/>
      <c r="AP81" s="199"/>
      <c r="AQ81" s="199"/>
      <c r="AR81" s="199"/>
      <c r="AS81" s="199"/>
      <c r="AT81" s="199"/>
      <c r="AU81" s="199"/>
      <c r="AV81" s="199"/>
      <c r="AW81" s="199"/>
      <c r="AX81" s="199"/>
      <c r="AY81" s="199"/>
      <c r="AZ81" s="199"/>
      <c r="BA81" s="199"/>
      <c r="BB81" s="199"/>
      <c r="BC81" s="199"/>
      <c r="BD81" s="199"/>
      <c r="BE81" s="199"/>
      <c r="BF81" s="199"/>
      <c r="BG81" s="199"/>
      <c r="BH81" s="199"/>
      <c r="BI81" s="199"/>
      <c r="BJ81" s="199"/>
      <c r="BK81" s="199"/>
      <c r="BL81" s="199"/>
      <c r="BQ81" s="227"/>
    </row>
    <row r="82" spans="1:69">
      <c r="A82" s="199"/>
      <c r="B82" s="199"/>
      <c r="C82" s="199"/>
      <c r="D82" s="198" t="s">
        <v>75</v>
      </c>
      <c r="E82" s="199"/>
      <c r="F82" s="225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  <c r="AB82" s="199"/>
      <c r="AC82" s="199"/>
      <c r="AD82" s="199"/>
      <c r="AE82" s="199"/>
      <c r="AF82" s="199"/>
      <c r="AG82" s="199"/>
      <c r="AH82" s="199"/>
      <c r="AI82" s="199"/>
      <c r="AJ82" s="199"/>
      <c r="AK82" s="199"/>
      <c r="AL82" s="199"/>
      <c r="AM82" s="199"/>
      <c r="AN82" s="199"/>
      <c r="AO82" s="199"/>
      <c r="AP82" s="199"/>
      <c r="AQ82" s="199"/>
      <c r="AR82" s="199"/>
      <c r="AS82" s="199"/>
      <c r="AT82" s="199"/>
      <c r="AU82" s="199"/>
      <c r="AV82" s="199"/>
      <c r="AW82" s="199"/>
      <c r="AX82" s="199"/>
      <c r="AY82" s="199"/>
      <c r="AZ82" s="199"/>
      <c r="BA82" s="199"/>
      <c r="BB82" s="199"/>
      <c r="BC82" s="199"/>
      <c r="BD82" s="199"/>
      <c r="BE82" s="199"/>
      <c r="BF82" s="199"/>
      <c r="BG82" s="199"/>
      <c r="BH82" s="199"/>
      <c r="BI82" s="199"/>
      <c r="BJ82" s="199"/>
      <c r="BK82" s="199"/>
      <c r="BL82" s="199"/>
      <c r="BQ82" s="227"/>
    </row>
    <row r="83" spans="1:69">
      <c r="A83" s="199"/>
      <c r="B83" s="199"/>
      <c r="C83" s="199"/>
      <c r="D83" s="278" t="s">
        <v>11</v>
      </c>
      <c r="E83" s="228" t="s">
        <v>76</v>
      </c>
      <c r="F83" s="290" t="s">
        <v>71</v>
      </c>
      <c r="G83" s="291"/>
      <c r="H83" s="292"/>
      <c r="I83" s="290" t="s">
        <v>77</v>
      </c>
      <c r="J83" s="292"/>
      <c r="K83" s="290" t="s">
        <v>78</v>
      </c>
      <c r="L83" s="292"/>
      <c r="M83" s="199"/>
      <c r="N83" s="199"/>
      <c r="O83" s="290" t="s">
        <v>76</v>
      </c>
      <c r="P83" s="291"/>
      <c r="Q83" s="292"/>
      <c r="R83" s="290" t="s">
        <v>79</v>
      </c>
      <c r="S83" s="292"/>
      <c r="T83" s="290" t="s">
        <v>80</v>
      </c>
      <c r="U83" s="292"/>
      <c r="V83" s="290" t="s">
        <v>22</v>
      </c>
      <c r="W83" s="292"/>
      <c r="X83" s="199"/>
      <c r="Y83" s="290" t="s">
        <v>76</v>
      </c>
      <c r="Z83" s="291"/>
      <c r="AA83" s="292"/>
      <c r="AB83" s="290" t="s">
        <v>79</v>
      </c>
      <c r="AC83" s="292"/>
      <c r="AD83" s="290" t="s">
        <v>80</v>
      </c>
      <c r="AE83" s="292"/>
      <c r="AF83" s="290" t="s">
        <v>22</v>
      </c>
      <c r="AG83" s="291"/>
      <c r="AH83" s="292"/>
      <c r="AI83" s="199"/>
      <c r="AJ83" s="199"/>
      <c r="AK83" s="199"/>
      <c r="AL83" s="199"/>
      <c r="AM83" s="225"/>
      <c r="AN83" s="225"/>
      <c r="AO83" s="225"/>
      <c r="AP83" s="225"/>
      <c r="AQ83" s="199"/>
      <c r="AR83" s="199"/>
      <c r="AS83" s="199"/>
      <c r="AT83" s="199"/>
      <c r="AU83" s="199"/>
      <c r="AV83" s="199"/>
      <c r="AW83" s="199"/>
      <c r="AX83" s="199"/>
      <c r="AY83" s="199"/>
      <c r="AZ83" s="199"/>
      <c r="BA83" s="225"/>
      <c r="BB83" s="199"/>
      <c r="BC83" s="199"/>
      <c r="BD83" s="199"/>
      <c r="BE83" s="199"/>
      <c r="BF83" s="199"/>
      <c r="BG83" s="199"/>
      <c r="BH83" s="199"/>
      <c r="BI83" s="199"/>
      <c r="BJ83" s="199"/>
      <c r="BK83" s="199"/>
      <c r="BL83" s="199"/>
      <c r="BQ83" s="227"/>
    </row>
    <row r="84" spans="1:69">
      <c r="A84" s="199"/>
      <c r="B84" s="199"/>
      <c r="C84" s="199"/>
      <c r="D84" s="299" t="s">
        <v>72</v>
      </c>
      <c r="E84" s="229" t="s">
        <v>81</v>
      </c>
      <c r="F84" s="293">
        <f>AW77</f>
        <v>275.5</v>
      </c>
      <c r="G84" s="294"/>
      <c r="H84" s="295"/>
      <c r="I84" s="293">
        <f>BH77</f>
        <v>0</v>
      </c>
      <c r="J84" s="295"/>
      <c r="K84" s="296">
        <f>SUM(F84:J84)</f>
        <v>275.5</v>
      </c>
      <c r="L84" s="297"/>
      <c r="M84" s="199"/>
      <c r="N84" s="199"/>
      <c r="O84" s="290" t="s">
        <v>82</v>
      </c>
      <c r="P84" s="291"/>
      <c r="Q84" s="292"/>
      <c r="R84" s="281">
        <v>0.25</v>
      </c>
      <c r="S84" s="282"/>
      <c r="T84" s="281">
        <v>0.58333333333333337</v>
      </c>
      <c r="U84" s="282"/>
      <c r="V84" s="283" t="s">
        <v>83</v>
      </c>
      <c r="W84" s="284"/>
      <c r="X84" s="199"/>
      <c r="Y84" s="290" t="s">
        <v>84</v>
      </c>
      <c r="Z84" s="291"/>
      <c r="AA84" s="292"/>
      <c r="AB84" s="281">
        <v>0.6875</v>
      </c>
      <c r="AC84" s="282"/>
      <c r="AD84" s="281">
        <v>0.8125</v>
      </c>
      <c r="AE84" s="282"/>
      <c r="AF84" s="283" t="s">
        <v>85</v>
      </c>
      <c r="AG84" s="284"/>
      <c r="AH84" s="199"/>
      <c r="AI84" s="199"/>
      <c r="AJ84" s="199"/>
      <c r="AK84" s="199"/>
      <c r="AL84" s="199"/>
      <c r="AM84" s="199"/>
      <c r="AN84" s="199"/>
      <c r="AO84" s="199"/>
      <c r="AP84" s="199"/>
      <c r="AQ84" s="199"/>
      <c r="AR84" s="199"/>
      <c r="AS84" s="199"/>
      <c r="AT84" s="199"/>
      <c r="AU84" s="199"/>
      <c r="AV84" s="199"/>
      <c r="AW84" s="199"/>
      <c r="AX84" s="199"/>
      <c r="AY84" s="199"/>
      <c r="AZ84" s="199"/>
      <c r="BA84" s="199"/>
      <c r="BB84" s="199"/>
      <c r="BC84" s="199"/>
      <c r="BD84" s="199"/>
      <c r="BE84" s="199"/>
      <c r="BF84" s="199"/>
      <c r="BG84" s="199"/>
      <c r="BH84" s="199"/>
      <c r="BI84" s="199"/>
      <c r="BJ84" s="199"/>
      <c r="BK84" s="199"/>
      <c r="BL84" s="199"/>
      <c r="BQ84" s="227"/>
    </row>
    <row r="85" spans="1:69">
      <c r="A85" s="199"/>
      <c r="B85" s="199"/>
      <c r="C85" s="199"/>
      <c r="D85" s="300"/>
      <c r="E85" s="229" t="s">
        <v>86</v>
      </c>
      <c r="F85" s="293">
        <f>AX77</f>
        <v>36</v>
      </c>
      <c r="G85" s="294"/>
      <c r="H85" s="295"/>
      <c r="I85" s="293">
        <v>0</v>
      </c>
      <c r="J85" s="295"/>
      <c r="K85" s="296">
        <f t="shared" ref="K85:K86" si="41">SUM(F85:J85)</f>
        <v>36</v>
      </c>
      <c r="L85" s="297"/>
      <c r="M85" s="199"/>
      <c r="N85" s="199"/>
      <c r="O85" s="290" t="s">
        <v>87</v>
      </c>
      <c r="P85" s="291"/>
      <c r="Q85" s="292"/>
      <c r="R85" s="281">
        <v>0.25</v>
      </c>
      <c r="S85" s="282"/>
      <c r="T85" s="281">
        <v>0.41666666666666669</v>
      </c>
      <c r="U85" s="282"/>
      <c r="V85" s="283" t="s">
        <v>88</v>
      </c>
      <c r="W85" s="284"/>
      <c r="X85" s="199"/>
      <c r="Y85" s="290" t="s">
        <v>89</v>
      </c>
      <c r="Z85" s="291"/>
      <c r="AA85" s="292"/>
      <c r="AB85" s="281">
        <v>0.3125</v>
      </c>
      <c r="AC85" s="282"/>
      <c r="AD85" s="281">
        <v>0.6875</v>
      </c>
      <c r="AE85" s="282"/>
      <c r="AF85" s="283" t="s">
        <v>90</v>
      </c>
      <c r="AG85" s="284"/>
      <c r="AH85" s="199"/>
      <c r="AI85" s="199"/>
      <c r="AJ85" s="199"/>
      <c r="AK85" s="199"/>
      <c r="AL85" s="199"/>
      <c r="AM85" s="199"/>
      <c r="AN85" s="199"/>
      <c r="AO85" s="199"/>
      <c r="AP85" s="199"/>
      <c r="AQ85" s="199"/>
      <c r="AR85" s="199"/>
      <c r="AS85" s="199"/>
      <c r="AT85" s="199"/>
      <c r="AU85" s="199"/>
      <c r="AV85" s="199"/>
      <c r="AW85" s="199"/>
      <c r="AX85" s="199"/>
      <c r="AY85" s="199"/>
      <c r="AZ85" s="199"/>
      <c r="BA85" s="199"/>
      <c r="BB85" s="199"/>
      <c r="BC85" s="199"/>
      <c r="BD85" s="199"/>
      <c r="BE85" s="199"/>
      <c r="BF85" s="199"/>
      <c r="BG85" s="199"/>
      <c r="BH85" s="199"/>
      <c r="BI85" s="199"/>
      <c r="BJ85" s="199"/>
      <c r="BK85" s="199"/>
      <c r="BL85" s="199"/>
      <c r="BQ85" s="227"/>
    </row>
    <row r="86" spans="1:69">
      <c r="A86" s="199"/>
      <c r="B86" s="199"/>
      <c r="C86" s="199"/>
      <c r="D86" s="301"/>
      <c r="E86" s="229" t="s">
        <v>69</v>
      </c>
      <c r="F86" s="293">
        <f>SUM(F84:H85)</f>
        <v>311.5</v>
      </c>
      <c r="G86" s="294"/>
      <c r="H86" s="295"/>
      <c r="I86" s="293">
        <f>SUM(I84:J85)</f>
        <v>0</v>
      </c>
      <c r="J86" s="295"/>
      <c r="K86" s="296">
        <f t="shared" si="41"/>
        <v>311.5</v>
      </c>
      <c r="L86" s="297"/>
      <c r="M86" s="199"/>
      <c r="N86" s="199"/>
      <c r="O86" s="290" t="s">
        <v>91</v>
      </c>
      <c r="P86" s="291"/>
      <c r="Q86" s="292"/>
      <c r="R86" s="281">
        <v>0.41666666666666669</v>
      </c>
      <c r="S86" s="282"/>
      <c r="T86" s="281">
        <v>0.58333333333333337</v>
      </c>
      <c r="U86" s="282"/>
      <c r="V86" s="283" t="s">
        <v>88</v>
      </c>
      <c r="W86" s="284"/>
      <c r="X86" s="199"/>
      <c r="Y86" s="290" t="s">
        <v>92</v>
      </c>
      <c r="Z86" s="291"/>
      <c r="AA86" s="292"/>
      <c r="AB86" s="281">
        <v>0.91666666666666663</v>
      </c>
      <c r="AC86" s="282"/>
      <c r="AD86" s="281">
        <v>0.25</v>
      </c>
      <c r="AE86" s="282"/>
      <c r="AF86" s="283" t="s">
        <v>83</v>
      </c>
      <c r="AG86" s="298"/>
      <c r="AH86" s="284"/>
      <c r="AI86" s="199"/>
      <c r="AJ86" s="199"/>
      <c r="AK86" s="199"/>
      <c r="AL86" s="199"/>
      <c r="AM86" s="199"/>
      <c r="AN86" s="199"/>
      <c r="AO86" s="199"/>
      <c r="AP86" s="199"/>
      <c r="AQ86" s="199"/>
      <c r="AR86" s="199"/>
      <c r="AS86" s="199"/>
      <c r="AT86" s="199"/>
      <c r="AU86" s="199"/>
      <c r="AV86" s="199"/>
      <c r="AW86" s="199"/>
      <c r="AX86" s="199"/>
      <c r="AY86" s="199"/>
      <c r="AZ86" s="199"/>
      <c r="BA86" s="199"/>
      <c r="BB86" s="199"/>
      <c r="BC86" s="199"/>
      <c r="BD86" s="199"/>
      <c r="BE86" s="199"/>
      <c r="BF86" s="199"/>
      <c r="BG86" s="199"/>
      <c r="BH86" s="199"/>
      <c r="BI86" s="199"/>
      <c r="BJ86" s="199"/>
      <c r="BK86" s="199"/>
      <c r="BL86" s="199"/>
      <c r="BQ86" s="227"/>
    </row>
    <row r="87" spans="1:69">
      <c r="A87" s="199"/>
      <c r="B87" s="199"/>
      <c r="C87" s="199"/>
      <c r="D87" s="299" t="s">
        <v>74</v>
      </c>
      <c r="E87" s="229" t="s">
        <v>81</v>
      </c>
      <c r="F87" s="293">
        <f>AY78</f>
        <v>755.875</v>
      </c>
      <c r="G87" s="294"/>
      <c r="H87" s="295"/>
      <c r="I87" s="293">
        <f>BI78</f>
        <v>0</v>
      </c>
      <c r="J87" s="295"/>
      <c r="K87" s="296">
        <f>SUM(F87:J87)</f>
        <v>755.875</v>
      </c>
      <c r="L87" s="297"/>
      <c r="M87" s="199"/>
      <c r="N87" s="199"/>
      <c r="O87" s="290" t="s">
        <v>93</v>
      </c>
      <c r="P87" s="291"/>
      <c r="Q87" s="292"/>
      <c r="R87" s="281">
        <v>0.625</v>
      </c>
      <c r="S87" s="282"/>
      <c r="T87" s="281">
        <v>0.91666666666666663</v>
      </c>
      <c r="U87" s="282"/>
      <c r="V87" s="283" t="s">
        <v>83</v>
      </c>
      <c r="W87" s="284"/>
      <c r="X87" s="199"/>
      <c r="Y87" s="199"/>
      <c r="Z87" s="199"/>
      <c r="AA87" s="199"/>
      <c r="AB87" s="199"/>
      <c r="AC87" s="199"/>
      <c r="AD87" s="199"/>
      <c r="AE87" s="199"/>
      <c r="AF87" s="199"/>
      <c r="AG87" s="199"/>
      <c r="AH87" s="199"/>
      <c r="AI87" s="199"/>
      <c r="AJ87" s="199"/>
      <c r="AK87" s="199"/>
      <c r="AL87" s="199"/>
      <c r="AM87" s="199"/>
      <c r="AN87" s="199"/>
      <c r="AO87" s="199"/>
      <c r="AP87" s="199"/>
      <c r="AQ87" s="199"/>
      <c r="AR87" s="199"/>
      <c r="AS87" s="199"/>
      <c r="AT87" s="199"/>
      <c r="AU87" s="199"/>
      <c r="AV87" s="199"/>
      <c r="AW87" s="199"/>
      <c r="AX87" s="199"/>
      <c r="AY87" s="199"/>
      <c r="AZ87" s="199"/>
      <c r="BA87" s="199"/>
      <c r="BB87" s="199"/>
      <c r="BC87" s="199"/>
      <c r="BD87" s="199"/>
      <c r="BE87" s="199"/>
      <c r="BF87" s="199"/>
      <c r="BG87" s="199"/>
      <c r="BH87" s="199"/>
      <c r="BI87" s="199"/>
      <c r="BJ87" s="199"/>
      <c r="BK87" s="199"/>
      <c r="BL87" s="199"/>
      <c r="BQ87" s="227"/>
    </row>
    <row r="88" spans="1:69">
      <c r="A88" s="199"/>
      <c r="B88" s="199"/>
      <c r="C88" s="199"/>
      <c r="D88" s="300"/>
      <c r="E88" s="229" t="s">
        <v>86</v>
      </c>
      <c r="F88" s="293">
        <f>AZ78</f>
        <v>171</v>
      </c>
      <c r="G88" s="294"/>
      <c r="H88" s="295"/>
      <c r="I88" s="293">
        <f>BJ78</f>
        <v>0</v>
      </c>
      <c r="J88" s="295"/>
      <c r="K88" s="296">
        <f>SUM(F88:J88)</f>
        <v>171</v>
      </c>
      <c r="L88" s="297"/>
      <c r="M88" s="199"/>
      <c r="N88" s="199"/>
      <c r="O88" s="290" t="s">
        <v>94</v>
      </c>
      <c r="P88" s="291"/>
      <c r="Q88" s="292"/>
      <c r="R88" s="281">
        <v>0.58333333333333337</v>
      </c>
      <c r="S88" s="282"/>
      <c r="T88" s="281">
        <v>0.75</v>
      </c>
      <c r="U88" s="282"/>
      <c r="V88" s="283" t="s">
        <v>88</v>
      </c>
      <c r="W88" s="284"/>
      <c r="X88" s="199"/>
      <c r="Y88" s="199"/>
      <c r="Z88" s="199"/>
      <c r="AA88" s="199"/>
      <c r="AB88" s="199"/>
      <c r="AC88" s="199"/>
      <c r="AD88" s="199"/>
      <c r="AE88" s="199"/>
      <c r="AF88" s="199"/>
      <c r="AG88" s="199"/>
      <c r="AH88" s="199"/>
      <c r="AI88" s="199"/>
      <c r="AJ88" s="199"/>
      <c r="AK88" s="199"/>
      <c r="AL88" s="199"/>
      <c r="AM88" s="199"/>
      <c r="AN88" s="199"/>
      <c r="AO88" s="199"/>
      <c r="AP88" s="199"/>
      <c r="AQ88" s="199"/>
      <c r="AR88" s="199"/>
      <c r="AS88" s="199"/>
      <c r="AT88" s="199"/>
      <c r="AU88" s="199"/>
      <c r="AV88" s="199"/>
      <c r="AW88" s="199"/>
      <c r="AX88" s="199"/>
      <c r="AY88" s="199"/>
      <c r="AZ88" s="199"/>
      <c r="BA88" s="199"/>
      <c r="BB88" s="199"/>
      <c r="BC88" s="199"/>
      <c r="BD88" s="199"/>
      <c r="BE88" s="199"/>
      <c r="BF88" s="199"/>
      <c r="BG88" s="199"/>
      <c r="BH88" s="199"/>
      <c r="BI88" s="199"/>
      <c r="BJ88" s="199"/>
      <c r="BK88" s="199"/>
      <c r="BL88" s="199"/>
      <c r="BQ88" s="227"/>
    </row>
    <row r="89" spans="1:69">
      <c r="A89" s="199"/>
      <c r="B89" s="199"/>
      <c r="C89" s="199"/>
      <c r="D89" s="301"/>
      <c r="E89" s="229" t="s">
        <v>70</v>
      </c>
      <c r="F89" s="293">
        <f>BL78</f>
        <v>926.875</v>
      </c>
      <c r="G89" s="294"/>
      <c r="H89" s="295"/>
      <c r="I89" s="293">
        <f>SUM(I87:J88)</f>
        <v>0</v>
      </c>
      <c r="J89" s="295"/>
      <c r="K89" s="296">
        <f>SUM(F89:J89)</f>
        <v>926.875</v>
      </c>
      <c r="L89" s="297"/>
      <c r="M89" s="199"/>
      <c r="N89" s="199"/>
      <c r="O89" s="290" t="s">
        <v>95</v>
      </c>
      <c r="P89" s="291"/>
      <c r="Q89" s="292"/>
      <c r="R89" s="281">
        <v>0.75</v>
      </c>
      <c r="S89" s="282"/>
      <c r="T89" s="281">
        <v>0.91666666666666663</v>
      </c>
      <c r="U89" s="282"/>
      <c r="V89" s="283" t="s">
        <v>88</v>
      </c>
      <c r="W89" s="284"/>
      <c r="X89" s="199"/>
      <c r="Y89" s="199"/>
      <c r="Z89" s="199"/>
      <c r="AA89" s="199"/>
      <c r="AB89" s="199"/>
      <c r="AC89" s="199"/>
      <c r="AD89" s="199"/>
      <c r="AE89" s="199"/>
      <c r="AF89" s="199"/>
      <c r="AG89" s="199"/>
      <c r="AH89" s="199"/>
      <c r="AI89" s="199"/>
      <c r="AJ89" s="199"/>
      <c r="AK89" s="199"/>
      <c r="AL89" s="199"/>
      <c r="AM89" s="199"/>
      <c r="AN89" s="199"/>
      <c r="AO89" s="199"/>
      <c r="AP89" s="199"/>
      <c r="AQ89" s="199"/>
      <c r="AR89" s="199"/>
      <c r="AS89" s="199"/>
      <c r="AT89" s="199"/>
      <c r="AU89" s="199"/>
      <c r="AV89" s="199"/>
      <c r="AW89" s="199"/>
      <c r="AX89" s="199"/>
      <c r="AY89" s="199"/>
      <c r="AZ89" s="199"/>
      <c r="BA89" s="199"/>
      <c r="BB89" s="199"/>
      <c r="BC89" s="199"/>
      <c r="BD89" s="199"/>
      <c r="BE89" s="199"/>
      <c r="BF89" s="199"/>
      <c r="BG89" s="199"/>
      <c r="BH89" s="199"/>
      <c r="BI89" s="199"/>
      <c r="BJ89" s="199"/>
      <c r="BK89" s="199"/>
      <c r="BL89" s="199"/>
      <c r="BQ89" s="227"/>
    </row>
    <row r="90" spans="1:69">
      <c r="A90" s="199"/>
      <c r="B90" s="199"/>
      <c r="C90" s="199"/>
      <c r="D90" s="285" t="s">
        <v>96</v>
      </c>
      <c r="E90" s="286"/>
      <c r="F90" s="287">
        <f>F89+F86</f>
        <v>1238.375</v>
      </c>
      <c r="G90" s="288"/>
      <c r="H90" s="289"/>
      <c r="I90" s="287">
        <f>I86+I89</f>
        <v>0</v>
      </c>
      <c r="J90" s="289"/>
      <c r="K90" s="287">
        <f>K86+K89</f>
        <v>1238.375</v>
      </c>
      <c r="L90" s="289"/>
      <c r="M90" s="199"/>
      <c r="N90" s="199"/>
      <c r="O90" s="290" t="s">
        <v>97</v>
      </c>
      <c r="P90" s="291"/>
      <c r="Q90" s="292"/>
      <c r="R90" s="281">
        <v>0.75</v>
      </c>
      <c r="S90" s="282"/>
      <c r="T90" s="281">
        <v>0.79166666666666663</v>
      </c>
      <c r="U90" s="282"/>
      <c r="V90" s="283" t="s">
        <v>98</v>
      </c>
      <c r="W90" s="284"/>
      <c r="X90" s="199"/>
      <c r="Y90" s="199"/>
      <c r="Z90" s="199"/>
      <c r="AA90" s="199"/>
      <c r="AB90" s="199"/>
      <c r="AC90" s="199"/>
      <c r="AD90" s="199"/>
      <c r="AE90" s="199"/>
      <c r="AF90" s="199"/>
      <c r="AG90" s="199"/>
      <c r="AH90" s="199"/>
      <c r="AI90" s="199"/>
      <c r="AJ90" s="199"/>
      <c r="AK90" s="199"/>
      <c r="AL90" s="199"/>
      <c r="AM90" s="199"/>
      <c r="AN90" s="199"/>
      <c r="AO90" s="199"/>
      <c r="AP90" s="199"/>
      <c r="AQ90" s="199"/>
      <c r="AR90" s="199"/>
      <c r="AS90" s="199"/>
      <c r="AT90" s="199"/>
      <c r="AU90" s="199"/>
      <c r="AV90" s="199"/>
      <c r="AW90" s="199"/>
      <c r="AX90" s="199"/>
      <c r="AY90" s="199"/>
      <c r="AZ90" s="199"/>
      <c r="BA90" s="199"/>
      <c r="BB90" s="199"/>
      <c r="BC90" s="199"/>
      <c r="BD90" s="199"/>
      <c r="BE90" s="199"/>
      <c r="BF90" s="199"/>
      <c r="BG90" s="199"/>
      <c r="BH90" s="199"/>
      <c r="BI90" s="199"/>
      <c r="BJ90" s="199"/>
      <c r="BK90" s="199"/>
      <c r="BL90" s="199"/>
      <c r="BQ90" s="227"/>
    </row>
    <row r="91" spans="1:69">
      <c r="A91" s="227"/>
      <c r="B91" s="227"/>
      <c r="C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  <c r="AB91" s="227"/>
      <c r="AC91" s="227"/>
      <c r="AD91" s="227"/>
      <c r="AE91" s="227"/>
      <c r="AF91" s="227"/>
      <c r="AG91" s="227"/>
      <c r="AH91" s="227"/>
      <c r="AI91" s="227"/>
      <c r="AJ91" s="227"/>
      <c r="AK91" s="256"/>
      <c r="AL91" s="256"/>
      <c r="AM91" s="256"/>
      <c r="AN91" s="256"/>
      <c r="AO91" s="256"/>
      <c r="AP91" s="256"/>
      <c r="AQ91" s="199"/>
      <c r="AR91" s="199"/>
      <c r="AS91" s="199"/>
      <c r="AT91" s="199"/>
      <c r="AU91" s="199"/>
      <c r="AV91" s="199"/>
      <c r="AW91" s="199"/>
      <c r="AX91" s="199"/>
      <c r="AY91" s="199"/>
      <c r="AZ91" s="199"/>
      <c r="BA91" s="199"/>
      <c r="BB91" s="199"/>
      <c r="BC91" s="199"/>
      <c r="BD91" s="199"/>
      <c r="BE91" s="199"/>
      <c r="BF91" s="199"/>
      <c r="BG91" s="199"/>
      <c r="BH91" s="199"/>
      <c r="BI91" s="199"/>
      <c r="BJ91" s="199"/>
      <c r="BK91" s="199"/>
      <c r="BL91" s="199"/>
      <c r="BQ91" s="227"/>
    </row>
    <row r="92" spans="1:69">
      <c r="A92" s="227"/>
      <c r="B92" s="227"/>
      <c r="C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  <c r="AB92" s="227"/>
      <c r="AC92" s="227"/>
      <c r="AD92" s="227"/>
      <c r="AE92" s="227"/>
      <c r="AF92" s="227"/>
      <c r="AG92" s="227"/>
      <c r="AH92" s="227"/>
      <c r="AI92" s="227"/>
      <c r="AJ92" s="227"/>
      <c r="AK92" s="256"/>
      <c r="AL92" s="256"/>
      <c r="AM92" s="256"/>
      <c r="AN92" s="256"/>
      <c r="AO92" s="256"/>
      <c r="AP92" s="256"/>
      <c r="AQ92" s="199"/>
      <c r="AR92" s="199"/>
      <c r="AS92" s="199"/>
      <c r="AT92" s="199"/>
      <c r="AU92" s="199"/>
      <c r="AV92" s="199"/>
      <c r="AW92" s="199"/>
      <c r="AX92" s="199"/>
      <c r="AY92" s="199"/>
      <c r="AZ92" s="199"/>
      <c r="BA92" s="199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Q92" s="227"/>
    </row>
    <row r="93" spans="1:69">
      <c r="A93" s="227"/>
      <c r="B93" s="227"/>
      <c r="C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  <c r="AB93" s="227"/>
      <c r="AC93" s="227"/>
      <c r="AD93" s="227"/>
      <c r="AE93" s="227"/>
      <c r="AF93" s="227"/>
      <c r="AG93" s="227"/>
      <c r="AH93" s="227"/>
      <c r="AI93" s="227"/>
      <c r="AJ93" s="227"/>
      <c r="AK93" s="256"/>
      <c r="AL93" s="256"/>
      <c r="AM93" s="256"/>
      <c r="AN93" s="256"/>
      <c r="AO93" s="256"/>
      <c r="AP93" s="256"/>
      <c r="AQ93" s="199"/>
      <c r="AR93" s="199"/>
      <c r="AS93" s="199"/>
      <c r="AT93" s="199"/>
      <c r="AU93" s="199"/>
      <c r="AV93" s="199"/>
      <c r="AW93" s="199"/>
      <c r="AX93" s="199"/>
      <c r="AY93" s="199"/>
      <c r="AZ93" s="199"/>
      <c r="BA93" s="199"/>
      <c r="BB93" s="199"/>
      <c r="BC93" s="199"/>
      <c r="BD93" s="199"/>
      <c r="BE93" s="199"/>
      <c r="BF93" s="199"/>
      <c r="BG93" s="199"/>
      <c r="BH93" s="199"/>
      <c r="BI93" s="199"/>
      <c r="BJ93" s="199"/>
      <c r="BK93" s="199"/>
      <c r="BL93" s="199"/>
      <c r="BQ93" s="227"/>
    </row>
    <row r="94" spans="1:69">
      <c r="A94" s="227"/>
      <c r="B94" s="227"/>
      <c r="C94" s="227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  <c r="AB94" s="227"/>
      <c r="AC94" s="227"/>
      <c r="AD94" s="227"/>
      <c r="AE94" s="227"/>
      <c r="AF94" s="227"/>
      <c r="AG94" s="227"/>
      <c r="AH94" s="227"/>
      <c r="AI94" s="227"/>
      <c r="AJ94" s="227"/>
      <c r="AK94" s="256"/>
      <c r="AL94" s="256"/>
      <c r="AM94" s="256"/>
      <c r="AN94" s="256"/>
      <c r="AO94" s="256"/>
      <c r="AP94" s="256"/>
      <c r="AQ94" s="199"/>
      <c r="AR94" s="199"/>
      <c r="AS94" s="199"/>
      <c r="AT94" s="199"/>
      <c r="AU94" s="199"/>
      <c r="AV94" s="199"/>
      <c r="AW94" s="199"/>
      <c r="AX94" s="199"/>
      <c r="AY94" s="199"/>
      <c r="AZ94" s="199"/>
      <c r="BA94" s="199"/>
      <c r="BB94" s="199"/>
      <c r="BC94" s="199"/>
      <c r="BD94" s="199"/>
      <c r="BE94" s="199"/>
      <c r="BF94" s="199"/>
      <c r="BG94" s="199"/>
      <c r="BH94" s="199"/>
      <c r="BI94" s="199"/>
      <c r="BJ94" s="199"/>
      <c r="BK94" s="199"/>
      <c r="BL94" s="199"/>
      <c r="BQ94" s="227"/>
    </row>
    <row r="95" spans="1:69">
      <c r="A95" s="227"/>
      <c r="B95" s="227"/>
      <c r="C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  <c r="AB95" s="227"/>
      <c r="AC95" s="227"/>
      <c r="AD95" s="227"/>
      <c r="AE95" s="227"/>
      <c r="AF95" s="227"/>
      <c r="AG95" s="227"/>
      <c r="AH95" s="227"/>
      <c r="AI95" s="227"/>
      <c r="AJ95" s="227"/>
      <c r="AK95" s="256"/>
      <c r="AL95" s="256"/>
      <c r="AM95" s="256"/>
      <c r="AN95" s="256"/>
      <c r="AO95" s="256"/>
      <c r="AP95" s="256"/>
      <c r="AQ95" s="199"/>
      <c r="AR95" s="199"/>
      <c r="AS95" s="199"/>
      <c r="AT95" s="199"/>
      <c r="AU95" s="199"/>
      <c r="AV95" s="199"/>
      <c r="AW95" s="199"/>
      <c r="AX95" s="199"/>
      <c r="AY95" s="199"/>
      <c r="AZ95" s="199"/>
      <c r="BA95" s="199"/>
      <c r="BB95" s="199"/>
      <c r="BC95" s="199"/>
      <c r="BD95" s="199"/>
      <c r="BE95" s="199"/>
      <c r="BF95" s="199"/>
      <c r="BG95" s="199"/>
      <c r="BH95" s="199"/>
      <c r="BI95" s="199"/>
      <c r="BJ95" s="199"/>
      <c r="BK95" s="199"/>
      <c r="BL95" s="199"/>
      <c r="BQ95" s="227"/>
    </row>
    <row r="96" spans="1:69">
      <c r="A96" s="227"/>
      <c r="B96" s="227"/>
      <c r="C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  <c r="AB96" s="227"/>
      <c r="AC96" s="227"/>
      <c r="AD96" s="227"/>
      <c r="AE96" s="227"/>
      <c r="AF96" s="227"/>
      <c r="AG96" s="227"/>
      <c r="AH96" s="227"/>
      <c r="AI96" s="227"/>
      <c r="AJ96" s="227"/>
      <c r="AK96" s="256"/>
      <c r="AL96" s="256"/>
      <c r="AM96" s="256"/>
      <c r="AN96" s="256"/>
      <c r="AO96" s="256"/>
      <c r="AP96" s="256"/>
      <c r="AQ96" s="199"/>
      <c r="AR96" s="199"/>
      <c r="AS96" s="199"/>
      <c r="AT96" s="199"/>
      <c r="AU96" s="199"/>
      <c r="AV96" s="199"/>
      <c r="AW96" s="199"/>
      <c r="AX96" s="199"/>
      <c r="AY96" s="199"/>
      <c r="AZ96" s="199"/>
      <c r="BA96" s="199"/>
      <c r="BB96" s="199"/>
      <c r="BC96" s="199"/>
      <c r="BD96" s="199"/>
      <c r="BE96" s="199"/>
      <c r="BF96" s="199"/>
      <c r="BG96" s="199"/>
      <c r="BH96" s="199"/>
      <c r="BI96" s="199"/>
      <c r="BJ96" s="199"/>
      <c r="BK96" s="199"/>
      <c r="BL96" s="199"/>
      <c r="BQ96" s="227"/>
    </row>
    <row r="97" spans="1:69">
      <c r="A97" s="227"/>
      <c r="B97" s="227"/>
      <c r="C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  <c r="AB97" s="227"/>
      <c r="AC97" s="227"/>
      <c r="AD97" s="227"/>
      <c r="AE97" s="227"/>
      <c r="AF97" s="227"/>
      <c r="AG97" s="227"/>
      <c r="AH97" s="227"/>
      <c r="AI97" s="227"/>
      <c r="AJ97" s="227"/>
      <c r="AK97" s="256"/>
      <c r="AL97" s="256"/>
      <c r="AM97" s="256"/>
      <c r="AN97" s="256"/>
      <c r="AO97" s="256"/>
      <c r="AP97" s="256"/>
      <c r="AQ97" s="199"/>
      <c r="AR97" s="199"/>
      <c r="AS97" s="199"/>
      <c r="AT97" s="199"/>
      <c r="AU97" s="199"/>
      <c r="AV97" s="199"/>
      <c r="AW97" s="199"/>
      <c r="AX97" s="199"/>
      <c r="AY97" s="199"/>
      <c r="AZ97" s="199"/>
      <c r="BA97" s="199"/>
      <c r="BB97" s="199"/>
      <c r="BC97" s="199"/>
      <c r="BD97" s="199"/>
      <c r="BE97" s="199"/>
      <c r="BF97" s="199"/>
      <c r="BG97" s="199"/>
      <c r="BH97" s="199"/>
      <c r="BI97" s="199"/>
      <c r="BJ97" s="199"/>
      <c r="BK97" s="199"/>
      <c r="BL97" s="199"/>
      <c r="BQ97" s="227"/>
    </row>
    <row r="98" spans="1:69">
      <c r="A98" s="227"/>
      <c r="B98" s="227"/>
      <c r="C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  <c r="AB98" s="227"/>
      <c r="AC98" s="227"/>
      <c r="AD98" s="227"/>
      <c r="AE98" s="227"/>
      <c r="AF98" s="227"/>
      <c r="AG98" s="227"/>
      <c r="AH98" s="227"/>
      <c r="AI98" s="227"/>
      <c r="AJ98" s="227"/>
      <c r="AK98" s="256"/>
      <c r="AL98" s="256"/>
      <c r="AM98" s="256"/>
      <c r="AN98" s="256"/>
      <c r="AO98" s="256"/>
      <c r="AP98" s="256"/>
      <c r="AQ98" s="199"/>
      <c r="AR98" s="199"/>
      <c r="AS98" s="199"/>
      <c r="AT98" s="199"/>
      <c r="AU98" s="199"/>
      <c r="AV98" s="199"/>
      <c r="AW98" s="199"/>
      <c r="AX98" s="199"/>
      <c r="AY98" s="199"/>
      <c r="AZ98" s="199"/>
      <c r="BA98" s="199"/>
      <c r="BB98" s="199"/>
      <c r="BC98" s="199"/>
      <c r="BD98" s="199"/>
      <c r="BE98" s="199"/>
      <c r="BF98" s="199"/>
      <c r="BG98" s="199"/>
      <c r="BH98" s="199"/>
      <c r="BI98" s="199"/>
      <c r="BJ98" s="199"/>
      <c r="BK98" s="199"/>
      <c r="BL98" s="199"/>
    </row>
    <row r="99" spans="1:69">
      <c r="A99" s="227"/>
      <c r="B99" s="227"/>
      <c r="C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  <c r="AB99" s="227"/>
      <c r="AC99" s="227"/>
      <c r="AD99" s="227"/>
      <c r="AE99" s="227"/>
      <c r="AF99" s="227"/>
      <c r="AG99" s="227"/>
      <c r="AH99" s="227"/>
      <c r="AI99" s="227"/>
      <c r="AJ99" s="227"/>
      <c r="AK99" s="256"/>
      <c r="AL99" s="256"/>
      <c r="AM99" s="256"/>
      <c r="AN99" s="256"/>
      <c r="AO99" s="256"/>
      <c r="AP99" s="256"/>
      <c r="AQ99" s="199"/>
      <c r="AR99" s="199"/>
      <c r="AS99" s="199"/>
      <c r="AT99" s="199"/>
      <c r="AU99" s="199"/>
      <c r="AV99" s="199"/>
      <c r="AW99" s="199"/>
      <c r="AX99" s="199"/>
      <c r="AY99" s="199"/>
      <c r="AZ99" s="199"/>
      <c r="BA99" s="199"/>
      <c r="BB99" s="199"/>
      <c r="BC99" s="199"/>
      <c r="BD99" s="199"/>
      <c r="BE99" s="199"/>
      <c r="BF99" s="199"/>
      <c r="BG99" s="199"/>
      <c r="BH99" s="199"/>
      <c r="BI99" s="199"/>
      <c r="BJ99" s="199"/>
      <c r="BK99" s="199"/>
      <c r="BL99" s="199"/>
    </row>
    <row r="100" spans="1:69">
      <c r="A100" s="227"/>
      <c r="B100" s="227"/>
      <c r="C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  <c r="AB100" s="227"/>
      <c r="AC100" s="227"/>
      <c r="AD100" s="227"/>
      <c r="AE100" s="227"/>
      <c r="AF100" s="227"/>
      <c r="AG100" s="227"/>
      <c r="AH100" s="227"/>
      <c r="AI100" s="227"/>
      <c r="AJ100" s="227"/>
      <c r="AK100" s="256"/>
      <c r="AL100" s="256"/>
      <c r="AM100" s="256"/>
      <c r="AN100" s="256"/>
      <c r="AO100" s="256"/>
      <c r="AP100" s="256"/>
      <c r="AQ100" s="199"/>
      <c r="AR100" s="199"/>
      <c r="AS100" s="199"/>
      <c r="AT100" s="199"/>
      <c r="AU100" s="199"/>
      <c r="AV100" s="199"/>
      <c r="AW100" s="199"/>
      <c r="AX100" s="199"/>
      <c r="AY100" s="199"/>
      <c r="AZ100" s="199"/>
      <c r="BA100" s="199"/>
      <c r="BB100" s="199"/>
      <c r="BC100" s="199"/>
      <c r="BD100" s="199"/>
      <c r="BE100" s="199"/>
      <c r="BF100" s="199"/>
      <c r="BG100" s="199"/>
      <c r="BH100" s="199"/>
      <c r="BI100" s="199"/>
      <c r="BJ100" s="199"/>
      <c r="BK100" s="199"/>
      <c r="BL100" s="199"/>
    </row>
    <row r="101" spans="1:69">
      <c r="A101" s="227"/>
      <c r="B101" s="227"/>
      <c r="C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  <c r="AB101" s="227"/>
      <c r="AC101" s="227"/>
      <c r="AD101" s="227"/>
      <c r="AE101" s="227"/>
      <c r="AF101" s="227"/>
      <c r="AG101" s="227"/>
      <c r="AH101" s="227"/>
      <c r="AI101" s="227"/>
      <c r="AJ101" s="227"/>
      <c r="AK101" s="256"/>
      <c r="AL101" s="256"/>
      <c r="AM101" s="256"/>
      <c r="AN101" s="256"/>
      <c r="AO101" s="256"/>
      <c r="AP101" s="256"/>
      <c r="AQ101" s="199"/>
      <c r="AR101" s="199"/>
      <c r="AS101" s="199"/>
      <c r="AT101" s="199"/>
      <c r="AU101" s="199"/>
      <c r="AV101" s="199"/>
      <c r="AW101" s="199"/>
      <c r="AX101" s="199"/>
      <c r="AY101" s="199"/>
      <c r="AZ101" s="199"/>
      <c r="BA101" s="199"/>
      <c r="BB101" s="199"/>
      <c r="BC101" s="199"/>
      <c r="BD101" s="199"/>
      <c r="BE101" s="199"/>
      <c r="BF101" s="199"/>
      <c r="BG101" s="199"/>
      <c r="BH101" s="199"/>
      <c r="BI101" s="199"/>
      <c r="BJ101" s="199"/>
      <c r="BK101" s="199"/>
      <c r="BL101" s="199"/>
    </row>
    <row r="102" spans="1:69">
      <c r="A102" s="227"/>
      <c r="B102" s="227"/>
      <c r="C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  <c r="AB102" s="227"/>
      <c r="AC102" s="227"/>
      <c r="AD102" s="227"/>
      <c r="AE102" s="227"/>
      <c r="AF102" s="227"/>
      <c r="AG102" s="227"/>
      <c r="AH102" s="227"/>
      <c r="AI102" s="227"/>
      <c r="AJ102" s="227"/>
      <c r="AK102" s="256"/>
      <c r="AL102" s="256"/>
      <c r="AM102" s="256"/>
      <c r="AN102" s="256"/>
      <c r="AO102" s="256"/>
      <c r="AP102" s="256"/>
      <c r="AQ102" s="199"/>
      <c r="AR102" s="199"/>
      <c r="AS102" s="199"/>
      <c r="AT102" s="199"/>
      <c r="AU102" s="199"/>
      <c r="AV102" s="199"/>
      <c r="AW102" s="199"/>
      <c r="AX102" s="199"/>
      <c r="AY102" s="199"/>
      <c r="AZ102" s="199"/>
      <c r="BA102" s="199"/>
      <c r="BB102" s="199"/>
      <c r="BC102" s="199"/>
      <c r="BD102" s="199"/>
      <c r="BE102" s="199"/>
      <c r="BF102" s="199"/>
      <c r="BG102" s="199"/>
      <c r="BH102" s="199"/>
      <c r="BI102" s="199"/>
      <c r="BJ102" s="199"/>
      <c r="BK102" s="199"/>
      <c r="BL102" s="199"/>
    </row>
    <row r="103" spans="1:69">
      <c r="A103" s="227"/>
      <c r="B103" s="227"/>
      <c r="C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  <c r="AC103" s="227"/>
      <c r="AD103" s="227"/>
      <c r="AE103" s="227"/>
      <c r="AF103" s="227"/>
      <c r="AG103" s="227"/>
      <c r="AH103" s="227"/>
      <c r="AI103" s="227"/>
      <c r="AJ103" s="227"/>
      <c r="AK103" s="256"/>
      <c r="AL103" s="256"/>
      <c r="AM103" s="256"/>
      <c r="AN103" s="256"/>
      <c r="AO103" s="256"/>
      <c r="AP103" s="256"/>
      <c r="AQ103" s="199"/>
      <c r="AR103" s="199"/>
      <c r="AS103" s="199"/>
      <c r="AT103" s="199"/>
      <c r="AU103" s="199"/>
      <c r="AV103" s="199"/>
      <c r="AW103" s="199"/>
      <c r="AX103" s="199"/>
      <c r="AY103" s="199"/>
      <c r="AZ103" s="199"/>
      <c r="BA103" s="199"/>
      <c r="BB103" s="199"/>
      <c r="BC103" s="199"/>
      <c r="BD103" s="199"/>
      <c r="BE103" s="199"/>
      <c r="BF103" s="199"/>
      <c r="BG103" s="199"/>
      <c r="BH103" s="199"/>
      <c r="BI103" s="199"/>
      <c r="BJ103" s="199"/>
      <c r="BK103" s="199"/>
      <c r="BL103" s="199"/>
    </row>
    <row r="104" spans="1:69">
      <c r="A104" s="227"/>
      <c r="B104" s="227"/>
      <c r="C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  <c r="AB104" s="227"/>
      <c r="AC104" s="227"/>
      <c r="AD104" s="227"/>
      <c r="AE104" s="227"/>
      <c r="AF104" s="227"/>
      <c r="AG104" s="227"/>
      <c r="AH104" s="227"/>
      <c r="AI104" s="227"/>
      <c r="AJ104" s="227"/>
      <c r="AK104" s="256"/>
      <c r="AL104" s="256"/>
      <c r="AM104" s="256"/>
      <c r="AN104" s="256"/>
      <c r="AO104" s="256"/>
      <c r="AP104" s="256"/>
      <c r="AQ104" s="275"/>
      <c r="AR104" s="276"/>
      <c r="AS104" s="276"/>
      <c r="AT104" s="276"/>
      <c r="AU104" s="275"/>
      <c r="AV104" s="275"/>
      <c r="AW104" s="275"/>
      <c r="AX104" s="275"/>
      <c r="AY104" s="275"/>
      <c r="AZ104" s="275"/>
    </row>
    <row r="105" spans="1:69">
      <c r="A105" s="227"/>
      <c r="B105" s="227"/>
      <c r="C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  <c r="AB105" s="227"/>
      <c r="AC105" s="227"/>
      <c r="AD105" s="227"/>
      <c r="AE105" s="227"/>
      <c r="AF105" s="227"/>
      <c r="AG105" s="227"/>
      <c r="AH105" s="227"/>
      <c r="AI105" s="227"/>
      <c r="AJ105" s="227"/>
      <c r="AK105" s="256"/>
      <c r="AL105" s="256"/>
      <c r="AM105" s="256"/>
      <c r="AN105" s="256"/>
      <c r="AO105" s="256"/>
      <c r="AP105" s="256"/>
      <c r="AQ105" s="275"/>
      <c r="AR105" s="276"/>
      <c r="AS105" s="276"/>
      <c r="AT105" s="276"/>
      <c r="AU105" s="275"/>
      <c r="AV105" s="275"/>
      <c r="AW105" s="275"/>
      <c r="AX105" s="275"/>
      <c r="AY105" s="275"/>
      <c r="AZ105" s="275"/>
    </row>
    <row r="106" spans="1:69">
      <c r="A106" s="227"/>
      <c r="B106" s="227"/>
      <c r="C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  <c r="AB106" s="227"/>
      <c r="AC106" s="227"/>
      <c r="AD106" s="227"/>
      <c r="AE106" s="227"/>
      <c r="AF106" s="227"/>
      <c r="AG106" s="227"/>
      <c r="AH106" s="227"/>
      <c r="AI106" s="227"/>
      <c r="AJ106" s="227"/>
      <c r="AK106" s="256"/>
      <c r="AL106" s="256"/>
      <c r="AM106" s="256"/>
      <c r="AN106" s="256"/>
      <c r="AO106" s="256"/>
      <c r="AP106" s="256"/>
      <c r="AQ106" s="275"/>
      <c r="AR106" s="276"/>
      <c r="AS106" s="276"/>
      <c r="AT106" s="276"/>
      <c r="AU106" s="275"/>
      <c r="AV106" s="275"/>
      <c r="AW106" s="275"/>
      <c r="AX106" s="275"/>
      <c r="AY106" s="275"/>
      <c r="AZ106" s="275"/>
    </row>
    <row r="107" spans="1:69">
      <c r="A107" s="227"/>
      <c r="B107" s="227"/>
      <c r="C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  <c r="AB107" s="227"/>
      <c r="AC107" s="227"/>
      <c r="AD107" s="227"/>
      <c r="AE107" s="227"/>
      <c r="AF107" s="227"/>
      <c r="AG107" s="227"/>
      <c r="AH107" s="227"/>
      <c r="AI107" s="227"/>
      <c r="AJ107" s="227"/>
      <c r="AK107" s="256"/>
      <c r="AL107" s="256"/>
      <c r="AM107" s="256"/>
      <c r="AN107" s="256"/>
      <c r="AO107" s="256"/>
      <c r="AP107" s="256"/>
      <c r="AQ107" s="275"/>
      <c r="AR107" s="276"/>
      <c r="AS107" s="276"/>
      <c r="AT107" s="276"/>
      <c r="AU107" s="275"/>
      <c r="AV107" s="275"/>
      <c r="AW107" s="275"/>
      <c r="AX107" s="275"/>
      <c r="AY107" s="275"/>
      <c r="AZ107" s="275"/>
    </row>
    <row r="108" spans="1:69">
      <c r="A108" s="227"/>
      <c r="B108" s="227"/>
      <c r="C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  <c r="AB108" s="227"/>
      <c r="AC108" s="227"/>
      <c r="AD108" s="227"/>
      <c r="AE108" s="227"/>
      <c r="AF108" s="227"/>
      <c r="AG108" s="227"/>
      <c r="AH108" s="227"/>
      <c r="AI108" s="227"/>
      <c r="AJ108" s="227"/>
      <c r="AK108" s="256"/>
      <c r="AL108" s="256"/>
      <c r="AM108" s="256"/>
      <c r="AN108" s="256"/>
      <c r="AO108" s="256"/>
      <c r="AP108" s="256"/>
      <c r="AQ108" s="275"/>
      <c r="AR108" s="276"/>
      <c r="AS108" s="276"/>
      <c r="AT108" s="276"/>
      <c r="AU108" s="275"/>
      <c r="AV108" s="275"/>
      <c r="AW108" s="275"/>
      <c r="AX108" s="275"/>
      <c r="AY108" s="275"/>
      <c r="AZ108" s="275"/>
    </row>
    <row r="109" spans="1:69">
      <c r="A109" s="227"/>
      <c r="B109" s="227"/>
      <c r="C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7"/>
      <c r="AG109" s="227"/>
      <c r="AH109" s="227"/>
      <c r="AI109" s="227"/>
      <c r="AJ109" s="227"/>
      <c r="AK109" s="256"/>
      <c r="AL109" s="256"/>
      <c r="AM109" s="256"/>
      <c r="AN109" s="256"/>
      <c r="AO109" s="256"/>
      <c r="AP109" s="256"/>
      <c r="AQ109" s="275"/>
      <c r="AR109" s="276"/>
      <c r="AS109" s="276"/>
      <c r="AT109" s="276"/>
      <c r="AU109" s="275"/>
      <c r="AV109" s="275"/>
      <c r="AW109" s="275"/>
      <c r="AX109" s="275"/>
      <c r="AY109" s="275"/>
      <c r="AZ109" s="275"/>
    </row>
    <row r="110" spans="1:69">
      <c r="A110" s="227"/>
      <c r="B110" s="227"/>
      <c r="C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  <c r="AB110" s="227"/>
      <c r="AC110" s="227"/>
      <c r="AD110" s="227"/>
      <c r="AE110" s="227"/>
      <c r="AF110" s="227"/>
      <c r="AG110" s="227"/>
      <c r="AH110" s="227"/>
      <c r="AI110" s="227"/>
      <c r="AJ110" s="227"/>
      <c r="AK110" s="256"/>
      <c r="AL110" s="256"/>
      <c r="AM110" s="256"/>
      <c r="AN110" s="256"/>
      <c r="AO110" s="256"/>
      <c r="AP110" s="256"/>
      <c r="AQ110" s="275"/>
      <c r="AR110" s="276"/>
      <c r="AS110" s="276"/>
      <c r="AT110" s="276"/>
      <c r="AU110" s="275"/>
      <c r="AV110" s="275"/>
      <c r="AW110" s="275"/>
      <c r="AX110" s="275"/>
      <c r="AY110" s="275"/>
      <c r="AZ110" s="275"/>
      <c r="BM110" s="275"/>
      <c r="BN110" s="275"/>
      <c r="BO110" s="275"/>
      <c r="BP110" s="275"/>
    </row>
    <row r="111" spans="1:69">
      <c r="A111" s="227"/>
      <c r="B111" s="227"/>
      <c r="C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  <c r="AB111" s="227"/>
      <c r="AC111" s="227"/>
      <c r="AD111" s="227"/>
      <c r="AE111" s="227"/>
      <c r="AF111" s="227"/>
      <c r="AG111" s="227"/>
      <c r="AH111" s="227"/>
      <c r="AI111" s="227"/>
      <c r="AJ111" s="227"/>
      <c r="AK111" s="256"/>
      <c r="AL111" s="256"/>
      <c r="AM111" s="256"/>
      <c r="AN111" s="256"/>
      <c r="AO111" s="256"/>
      <c r="AP111" s="256"/>
      <c r="AQ111" s="275"/>
      <c r="AR111" s="276"/>
      <c r="AS111" s="276"/>
      <c r="AT111" s="276"/>
      <c r="AU111" s="275"/>
      <c r="AV111" s="275"/>
      <c r="AW111" s="275"/>
      <c r="AX111" s="275"/>
      <c r="AY111" s="275"/>
      <c r="AZ111" s="275"/>
    </row>
    <row r="112" spans="1:69">
      <c r="A112" s="227"/>
      <c r="B112" s="227"/>
      <c r="C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56"/>
      <c r="AL112" s="256"/>
      <c r="AM112" s="256"/>
      <c r="AN112" s="256"/>
      <c r="AO112" s="256"/>
      <c r="AP112" s="256"/>
      <c r="AQ112" s="275"/>
      <c r="AR112" s="276"/>
      <c r="AS112" s="276"/>
      <c r="AT112" s="276"/>
      <c r="AU112" s="275"/>
      <c r="AV112" s="275"/>
      <c r="AW112" s="275"/>
      <c r="AX112" s="275"/>
      <c r="AY112" s="275"/>
      <c r="AZ112" s="275"/>
    </row>
    <row r="113" spans="1:52">
      <c r="A113" s="227"/>
      <c r="B113" s="227"/>
      <c r="C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56"/>
      <c r="AL113" s="256"/>
      <c r="AM113" s="256"/>
      <c r="AN113" s="256"/>
      <c r="AO113" s="256"/>
      <c r="AP113" s="256"/>
      <c r="AQ113" s="275"/>
      <c r="AR113" s="276"/>
      <c r="AS113" s="276"/>
      <c r="AT113" s="276"/>
      <c r="AU113" s="275"/>
      <c r="AV113" s="275"/>
      <c r="AW113" s="275"/>
      <c r="AX113" s="275"/>
      <c r="AY113" s="275"/>
      <c r="AZ113" s="275"/>
    </row>
    <row r="114" spans="1:52">
      <c r="A114" s="227"/>
      <c r="B114" s="227"/>
      <c r="C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56"/>
      <c r="AL114" s="256"/>
      <c r="AM114" s="256"/>
      <c r="AN114" s="256"/>
      <c r="AO114" s="256"/>
      <c r="AP114" s="256"/>
      <c r="AQ114" s="275"/>
      <c r="AR114" s="276"/>
      <c r="AS114" s="276"/>
      <c r="AT114" s="276"/>
      <c r="AU114" s="275"/>
      <c r="AV114" s="275"/>
      <c r="AW114" s="275"/>
      <c r="AX114" s="275"/>
      <c r="AY114" s="275"/>
      <c r="AZ114" s="275"/>
    </row>
    <row r="115" spans="1:52">
      <c r="A115" s="227"/>
      <c r="B115" s="227"/>
      <c r="C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56"/>
      <c r="AL115" s="256"/>
      <c r="AM115" s="256"/>
      <c r="AN115" s="256"/>
      <c r="AO115" s="256"/>
      <c r="AP115" s="256"/>
      <c r="AQ115" s="275"/>
      <c r="AR115" s="276"/>
      <c r="AS115" s="276"/>
      <c r="AT115" s="276"/>
      <c r="AU115" s="275"/>
      <c r="AV115" s="275"/>
      <c r="AW115" s="275"/>
      <c r="AX115" s="275"/>
      <c r="AY115" s="275"/>
      <c r="AZ115" s="275"/>
    </row>
    <row r="116" spans="1:52">
      <c r="A116" s="227"/>
      <c r="B116" s="227"/>
      <c r="C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56"/>
      <c r="AL116" s="256"/>
      <c r="AM116" s="256"/>
      <c r="AN116" s="256"/>
      <c r="AO116" s="256"/>
      <c r="AP116" s="256"/>
      <c r="AQ116" s="275"/>
      <c r="AR116" s="276"/>
      <c r="AS116" s="276"/>
      <c r="AT116" s="276"/>
      <c r="AU116" s="275"/>
      <c r="AV116" s="275"/>
      <c r="AW116" s="275"/>
      <c r="AX116" s="275"/>
      <c r="AY116" s="275"/>
      <c r="AZ116" s="275"/>
    </row>
    <row r="117" spans="1:52">
      <c r="A117" s="227"/>
      <c r="B117" s="227"/>
      <c r="C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56"/>
      <c r="AL117" s="256"/>
      <c r="AM117" s="256"/>
      <c r="AN117" s="256"/>
      <c r="AO117" s="256"/>
      <c r="AP117" s="256"/>
      <c r="AQ117" s="275"/>
      <c r="AR117" s="276"/>
      <c r="AS117" s="276"/>
      <c r="AT117" s="276"/>
      <c r="AU117" s="275"/>
      <c r="AV117" s="275"/>
      <c r="AW117" s="275"/>
      <c r="AX117" s="275"/>
      <c r="AY117" s="275"/>
      <c r="AZ117" s="275"/>
    </row>
    <row r="118" spans="1:52">
      <c r="A118" s="227"/>
      <c r="B118" s="227"/>
      <c r="C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56"/>
      <c r="AL118" s="256"/>
      <c r="AM118" s="256"/>
      <c r="AN118" s="256"/>
      <c r="AO118" s="256"/>
      <c r="AP118" s="256"/>
      <c r="AQ118" s="275"/>
      <c r="AR118" s="276"/>
      <c r="AS118" s="276"/>
      <c r="AT118" s="276"/>
      <c r="AU118" s="275"/>
      <c r="AV118" s="275"/>
      <c r="AW118" s="275"/>
      <c r="AX118" s="275"/>
      <c r="AY118" s="275"/>
      <c r="AZ118" s="275"/>
    </row>
    <row r="119" spans="1:52">
      <c r="A119" s="227"/>
      <c r="B119" s="227"/>
      <c r="C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56"/>
      <c r="AL119" s="256"/>
      <c r="AM119" s="256"/>
      <c r="AN119" s="256"/>
      <c r="AO119" s="256"/>
      <c r="AP119" s="256"/>
      <c r="AQ119" s="275"/>
      <c r="AR119" s="276"/>
      <c r="AS119" s="276"/>
      <c r="AT119" s="276"/>
      <c r="AU119" s="275"/>
      <c r="AV119" s="275"/>
      <c r="AW119" s="275"/>
      <c r="AX119" s="275"/>
      <c r="AY119" s="275"/>
      <c r="AZ119" s="275"/>
    </row>
    <row r="120" spans="1:52">
      <c r="A120" s="227"/>
      <c r="B120" s="227"/>
      <c r="C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56"/>
      <c r="AL120" s="256"/>
      <c r="AM120" s="256"/>
      <c r="AN120" s="256"/>
      <c r="AO120" s="256"/>
      <c r="AP120" s="256"/>
      <c r="AQ120" s="275"/>
      <c r="AR120" s="276"/>
      <c r="AS120" s="276"/>
      <c r="AT120" s="276"/>
      <c r="AU120" s="275"/>
      <c r="AV120" s="275"/>
      <c r="AW120" s="275"/>
      <c r="AX120" s="275"/>
      <c r="AY120" s="275"/>
      <c r="AZ120" s="275"/>
    </row>
    <row r="121" spans="1:52">
      <c r="A121" s="227"/>
      <c r="B121" s="227"/>
      <c r="C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56"/>
      <c r="AL121" s="256"/>
      <c r="AM121" s="256"/>
      <c r="AN121" s="256"/>
      <c r="AO121" s="256"/>
      <c r="AP121" s="256"/>
      <c r="AQ121" s="275"/>
      <c r="AR121" s="276"/>
      <c r="AS121" s="276"/>
      <c r="AT121" s="276"/>
      <c r="AU121" s="275"/>
      <c r="AV121" s="275"/>
      <c r="AW121" s="275"/>
      <c r="AX121" s="275"/>
      <c r="AY121" s="275"/>
      <c r="AZ121" s="275"/>
    </row>
    <row r="122" spans="1:52">
      <c r="A122" s="227"/>
      <c r="B122" s="227"/>
      <c r="C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56"/>
      <c r="AL122" s="256"/>
      <c r="AM122" s="256"/>
      <c r="AN122" s="256"/>
      <c r="AO122" s="256"/>
      <c r="AP122" s="256"/>
      <c r="AQ122" s="275"/>
      <c r="AR122" s="276"/>
      <c r="AS122" s="276"/>
      <c r="AT122" s="276"/>
      <c r="AU122" s="275"/>
      <c r="AV122" s="275"/>
      <c r="AW122" s="275"/>
      <c r="AX122" s="275"/>
      <c r="AY122" s="275"/>
      <c r="AZ122" s="275"/>
    </row>
    <row r="123" spans="1:52">
      <c r="A123" s="227"/>
      <c r="B123" s="227"/>
      <c r="C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56"/>
      <c r="AL123" s="256"/>
      <c r="AM123" s="256"/>
      <c r="AN123" s="256"/>
      <c r="AO123" s="256"/>
      <c r="AP123" s="256"/>
      <c r="AQ123" s="275"/>
      <c r="AR123" s="276"/>
      <c r="AS123" s="276"/>
      <c r="AT123" s="276"/>
      <c r="AU123" s="275"/>
      <c r="AV123" s="275"/>
      <c r="AW123" s="275"/>
      <c r="AX123" s="275"/>
      <c r="AY123" s="275"/>
      <c r="AZ123" s="275"/>
    </row>
    <row r="124" spans="1:52">
      <c r="A124" s="227"/>
      <c r="B124" s="227"/>
      <c r="C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56"/>
      <c r="AL124" s="256"/>
      <c r="AM124" s="256"/>
      <c r="AN124" s="256"/>
      <c r="AO124" s="256"/>
      <c r="AP124" s="256"/>
      <c r="AQ124" s="275"/>
      <c r="AR124" s="276"/>
      <c r="AS124" s="276"/>
      <c r="AT124" s="276"/>
      <c r="AU124" s="275"/>
      <c r="AV124" s="275"/>
      <c r="AW124" s="275"/>
      <c r="AX124" s="275"/>
      <c r="AY124" s="275"/>
      <c r="AZ124" s="275"/>
    </row>
    <row r="125" spans="1:52">
      <c r="A125" s="227"/>
      <c r="B125" s="227"/>
      <c r="C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56"/>
      <c r="AL125" s="256"/>
      <c r="AM125" s="256"/>
      <c r="AN125" s="256"/>
      <c r="AO125" s="256"/>
      <c r="AP125" s="256"/>
      <c r="AQ125" s="275"/>
      <c r="AR125" s="276"/>
      <c r="AS125" s="276"/>
      <c r="AT125" s="276"/>
      <c r="AU125" s="275"/>
      <c r="AV125" s="275"/>
      <c r="AW125" s="275"/>
      <c r="AX125" s="275"/>
      <c r="AY125" s="275"/>
      <c r="AZ125" s="275"/>
    </row>
    <row r="126" spans="1:52">
      <c r="A126" s="227"/>
      <c r="B126" s="227"/>
      <c r="C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  <c r="AC126" s="227"/>
      <c r="AD126" s="227"/>
      <c r="AE126" s="227"/>
      <c r="AF126" s="227"/>
      <c r="AG126" s="227"/>
      <c r="AH126" s="227"/>
      <c r="AI126" s="227"/>
      <c r="AJ126" s="227"/>
      <c r="AK126" s="256"/>
      <c r="AL126" s="256"/>
      <c r="AM126" s="256"/>
      <c r="AN126" s="256"/>
      <c r="AO126" s="256"/>
      <c r="AP126" s="256"/>
      <c r="AQ126" s="275"/>
      <c r="AR126" s="276"/>
      <c r="AS126" s="276"/>
      <c r="AT126" s="276"/>
      <c r="AU126" s="275"/>
      <c r="AV126" s="275"/>
      <c r="AW126" s="275"/>
      <c r="AX126" s="275"/>
      <c r="AY126" s="275"/>
      <c r="AZ126" s="275"/>
    </row>
    <row r="127" spans="1:52">
      <c r="A127" s="227"/>
      <c r="B127" s="227"/>
      <c r="C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56"/>
      <c r="AL127" s="256"/>
      <c r="AM127" s="256"/>
      <c r="AN127" s="256"/>
      <c r="AO127" s="256"/>
      <c r="AP127" s="256"/>
      <c r="AQ127" s="275"/>
      <c r="AR127" s="276"/>
      <c r="AS127" s="276"/>
      <c r="AT127" s="276"/>
      <c r="AU127" s="275"/>
      <c r="AV127" s="275"/>
      <c r="AW127" s="275"/>
      <c r="AX127" s="275"/>
      <c r="AY127" s="275"/>
      <c r="AZ127" s="275"/>
    </row>
    <row r="128" spans="1:52">
      <c r="A128" s="227"/>
      <c r="B128" s="227"/>
      <c r="C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  <c r="AD128" s="227"/>
      <c r="AE128" s="227"/>
      <c r="AF128" s="227"/>
      <c r="AG128" s="227"/>
      <c r="AH128" s="227"/>
      <c r="AI128" s="227"/>
      <c r="AJ128" s="227"/>
      <c r="AK128" s="256"/>
      <c r="AL128" s="256"/>
      <c r="AM128" s="256"/>
      <c r="AN128" s="256"/>
      <c r="AO128" s="256"/>
      <c r="AP128" s="256"/>
      <c r="AQ128" s="275"/>
      <c r="AR128" s="276"/>
      <c r="AS128" s="276"/>
      <c r="AT128" s="276"/>
      <c r="AU128" s="275"/>
      <c r="AV128" s="275"/>
      <c r="AW128" s="275"/>
      <c r="AX128" s="275"/>
      <c r="AY128" s="275"/>
      <c r="AZ128" s="275"/>
    </row>
    <row r="129" spans="1:52">
      <c r="A129" s="227"/>
      <c r="B129" s="227"/>
      <c r="C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56"/>
      <c r="AL129" s="256"/>
      <c r="AM129" s="256"/>
      <c r="AN129" s="256"/>
      <c r="AO129" s="256"/>
      <c r="AP129" s="256"/>
      <c r="AQ129" s="275"/>
      <c r="AR129" s="276"/>
      <c r="AS129" s="276"/>
      <c r="AT129" s="276"/>
      <c r="AU129" s="275"/>
      <c r="AV129" s="275"/>
      <c r="AW129" s="275"/>
      <c r="AX129" s="275"/>
      <c r="AY129" s="275"/>
      <c r="AZ129" s="275"/>
    </row>
    <row r="130" spans="1:52">
      <c r="A130" s="227"/>
      <c r="B130" s="227"/>
      <c r="C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  <c r="AB130" s="227"/>
      <c r="AC130" s="227"/>
      <c r="AD130" s="227"/>
      <c r="AE130" s="227"/>
      <c r="AF130" s="227"/>
      <c r="AG130" s="227"/>
      <c r="AH130" s="227"/>
      <c r="AI130" s="227"/>
      <c r="AJ130" s="227"/>
      <c r="AK130" s="256"/>
      <c r="AL130" s="256"/>
      <c r="AM130" s="256"/>
      <c r="AN130" s="256"/>
      <c r="AO130" s="256"/>
      <c r="AP130" s="256"/>
      <c r="AQ130" s="275"/>
      <c r="AR130" s="276"/>
      <c r="AS130" s="276"/>
      <c r="AT130" s="276"/>
      <c r="AU130" s="275"/>
      <c r="AV130" s="275"/>
      <c r="AW130" s="275"/>
      <c r="AX130" s="275"/>
      <c r="AY130" s="275"/>
      <c r="AZ130" s="275"/>
    </row>
    <row r="131" spans="1:52">
      <c r="A131" s="227"/>
      <c r="B131" s="227"/>
      <c r="C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  <c r="AB131" s="227"/>
      <c r="AC131" s="227"/>
      <c r="AD131" s="227"/>
      <c r="AE131" s="227"/>
      <c r="AF131" s="227"/>
      <c r="AG131" s="227"/>
      <c r="AH131" s="227"/>
      <c r="AI131" s="227"/>
      <c r="AJ131" s="227"/>
      <c r="AK131" s="256"/>
      <c r="AL131" s="256"/>
      <c r="AM131" s="256"/>
      <c r="AN131" s="256"/>
      <c r="AO131" s="256"/>
      <c r="AP131" s="256"/>
      <c r="AQ131" s="275"/>
      <c r="AR131" s="276"/>
      <c r="AS131" s="276"/>
      <c r="AT131" s="276"/>
      <c r="AU131" s="275"/>
      <c r="AV131" s="275"/>
      <c r="AW131" s="275"/>
      <c r="AX131" s="275"/>
      <c r="AY131" s="275"/>
      <c r="AZ131" s="275"/>
    </row>
    <row r="132" spans="1:52">
      <c r="A132" s="227"/>
      <c r="B132" s="227"/>
      <c r="C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  <c r="AB132" s="227"/>
      <c r="AC132" s="227"/>
      <c r="AD132" s="227"/>
      <c r="AE132" s="227"/>
      <c r="AF132" s="227"/>
      <c r="AG132" s="227"/>
      <c r="AH132" s="227"/>
      <c r="AI132" s="227"/>
      <c r="AJ132" s="227"/>
      <c r="AK132" s="256"/>
      <c r="AL132" s="256"/>
      <c r="AM132" s="256"/>
      <c r="AN132" s="256"/>
      <c r="AO132" s="256"/>
      <c r="AP132" s="256"/>
      <c r="AQ132" s="275"/>
      <c r="AR132" s="276"/>
      <c r="AS132" s="276"/>
      <c r="AT132" s="276"/>
      <c r="AU132" s="275"/>
      <c r="AV132" s="275"/>
      <c r="AW132" s="275"/>
      <c r="AX132" s="275"/>
      <c r="AY132" s="275"/>
      <c r="AZ132" s="275"/>
    </row>
    <row r="133" spans="1:52">
      <c r="A133" s="227"/>
      <c r="B133" s="227"/>
      <c r="C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  <c r="AB133" s="227"/>
      <c r="AC133" s="227"/>
      <c r="AD133" s="227"/>
      <c r="AE133" s="227"/>
      <c r="AF133" s="227"/>
      <c r="AG133" s="227"/>
      <c r="AH133" s="227"/>
      <c r="AI133" s="227"/>
      <c r="AJ133" s="227"/>
      <c r="AK133" s="256"/>
      <c r="AL133" s="256"/>
      <c r="AM133" s="256"/>
      <c r="AN133" s="256"/>
      <c r="AO133" s="256"/>
      <c r="AP133" s="256"/>
      <c r="AQ133" s="275"/>
      <c r="AR133" s="276"/>
      <c r="AS133" s="276"/>
      <c r="AT133" s="276"/>
      <c r="AU133" s="275"/>
      <c r="AV133" s="275"/>
      <c r="AW133" s="275"/>
      <c r="AX133" s="275"/>
      <c r="AY133" s="275"/>
      <c r="AZ133" s="275"/>
    </row>
    <row r="134" spans="1:52">
      <c r="A134" s="227"/>
      <c r="B134" s="227"/>
      <c r="C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  <c r="AB134" s="227"/>
      <c r="AC134" s="227"/>
      <c r="AD134" s="227"/>
      <c r="AE134" s="227"/>
      <c r="AF134" s="227"/>
      <c r="AG134" s="227"/>
      <c r="AH134" s="227"/>
      <c r="AI134" s="227"/>
      <c r="AJ134" s="227"/>
      <c r="AK134" s="256"/>
      <c r="AL134" s="256"/>
      <c r="AM134" s="256"/>
      <c r="AN134" s="256"/>
      <c r="AO134" s="256"/>
      <c r="AP134" s="256"/>
      <c r="AQ134" s="275"/>
      <c r="AR134" s="276"/>
      <c r="AS134" s="276"/>
      <c r="AT134" s="276"/>
      <c r="AU134" s="275"/>
      <c r="AV134" s="275"/>
      <c r="AW134" s="275"/>
      <c r="AX134" s="275"/>
      <c r="AY134" s="275"/>
      <c r="AZ134" s="275"/>
    </row>
    <row r="135" spans="1:52">
      <c r="A135" s="227"/>
      <c r="B135" s="227"/>
      <c r="C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  <c r="AB135" s="227"/>
      <c r="AC135" s="227"/>
      <c r="AD135" s="227"/>
      <c r="AE135" s="227"/>
      <c r="AF135" s="227"/>
      <c r="AG135" s="227"/>
      <c r="AH135" s="227"/>
      <c r="AI135" s="227"/>
      <c r="AJ135" s="227"/>
      <c r="AK135" s="256"/>
      <c r="AL135" s="256"/>
      <c r="AM135" s="256"/>
      <c r="AN135" s="256"/>
      <c r="AO135" s="256"/>
      <c r="AP135" s="256"/>
      <c r="AQ135" s="275"/>
      <c r="AR135" s="276"/>
      <c r="AS135" s="276"/>
      <c r="AT135" s="276"/>
      <c r="AU135" s="275"/>
      <c r="AV135" s="275"/>
      <c r="AW135" s="275"/>
      <c r="AX135" s="275"/>
      <c r="AY135" s="275"/>
      <c r="AZ135" s="275"/>
    </row>
    <row r="136" spans="1:52">
      <c r="A136" s="227"/>
      <c r="B136" s="227"/>
      <c r="C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  <c r="AB136" s="227"/>
      <c r="AC136" s="227"/>
      <c r="AD136" s="227"/>
      <c r="AE136" s="227"/>
      <c r="AF136" s="227"/>
      <c r="AG136" s="227"/>
      <c r="AH136" s="227"/>
      <c r="AI136" s="227"/>
      <c r="AJ136" s="227"/>
      <c r="AK136" s="256"/>
      <c r="AL136" s="256"/>
      <c r="AM136" s="256"/>
      <c r="AN136" s="256"/>
      <c r="AO136" s="256"/>
      <c r="AP136" s="256"/>
      <c r="AQ136" s="275"/>
      <c r="AR136" s="276"/>
      <c r="AS136" s="276"/>
      <c r="AT136" s="276"/>
      <c r="AU136" s="275"/>
      <c r="AV136" s="275"/>
      <c r="AW136" s="275"/>
      <c r="AX136" s="275"/>
      <c r="AY136" s="275"/>
      <c r="AZ136" s="275"/>
    </row>
    <row r="137" spans="1:52">
      <c r="A137" s="227"/>
      <c r="B137" s="227"/>
      <c r="C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  <c r="AB137" s="227"/>
      <c r="AC137" s="227"/>
      <c r="AD137" s="227"/>
      <c r="AE137" s="227"/>
      <c r="AF137" s="227"/>
      <c r="AG137" s="227"/>
      <c r="AH137" s="227"/>
      <c r="AI137" s="227"/>
      <c r="AJ137" s="227"/>
      <c r="AK137" s="256"/>
      <c r="AL137" s="256"/>
      <c r="AM137" s="256"/>
      <c r="AN137" s="256"/>
      <c r="AO137" s="256"/>
      <c r="AP137" s="256"/>
      <c r="AQ137" s="275"/>
      <c r="AR137" s="276"/>
      <c r="AS137" s="276"/>
      <c r="AT137" s="276"/>
      <c r="AU137" s="275"/>
      <c r="AV137" s="275"/>
      <c r="AW137" s="275"/>
      <c r="AX137" s="275"/>
      <c r="AY137" s="275"/>
      <c r="AZ137" s="275"/>
    </row>
    <row r="138" spans="1:52">
      <c r="A138" s="227"/>
      <c r="B138" s="227"/>
      <c r="C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  <c r="AB138" s="227"/>
      <c r="AC138" s="227"/>
      <c r="AD138" s="227"/>
      <c r="AE138" s="227"/>
      <c r="AF138" s="227"/>
      <c r="AG138" s="227"/>
      <c r="AH138" s="227"/>
      <c r="AI138" s="227"/>
      <c r="AJ138" s="227"/>
      <c r="AK138" s="256"/>
      <c r="AL138" s="256"/>
      <c r="AM138" s="256"/>
      <c r="AN138" s="256"/>
      <c r="AO138" s="256"/>
      <c r="AP138" s="256"/>
      <c r="AQ138" s="275"/>
      <c r="AR138" s="276"/>
      <c r="AS138" s="276"/>
      <c r="AT138" s="276"/>
      <c r="AU138" s="275"/>
      <c r="AV138" s="275"/>
      <c r="AW138" s="275"/>
      <c r="AX138" s="275"/>
      <c r="AY138" s="275"/>
      <c r="AZ138" s="275"/>
    </row>
    <row r="139" spans="1:52">
      <c r="A139" s="227"/>
      <c r="B139" s="227"/>
      <c r="C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  <c r="AB139" s="227"/>
      <c r="AC139" s="227"/>
      <c r="AD139" s="227"/>
      <c r="AE139" s="227"/>
      <c r="AF139" s="227"/>
      <c r="AG139" s="227"/>
      <c r="AH139" s="227"/>
      <c r="AI139" s="227"/>
      <c r="AJ139" s="227"/>
      <c r="AK139" s="256"/>
      <c r="AL139" s="256"/>
      <c r="AM139" s="256"/>
      <c r="AN139" s="256"/>
      <c r="AO139" s="256"/>
      <c r="AP139" s="256"/>
      <c r="AQ139" s="275"/>
      <c r="AR139" s="276"/>
      <c r="AS139" s="276"/>
      <c r="AT139" s="276"/>
      <c r="AU139" s="275"/>
      <c r="AV139" s="275"/>
      <c r="AW139" s="275"/>
      <c r="AX139" s="275"/>
      <c r="AY139" s="275"/>
      <c r="AZ139" s="275"/>
    </row>
    <row r="140" spans="1:52">
      <c r="A140" s="227"/>
      <c r="B140" s="227"/>
      <c r="C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  <c r="AB140" s="227"/>
      <c r="AC140" s="227"/>
      <c r="AD140" s="227"/>
      <c r="AE140" s="227"/>
      <c r="AF140" s="227"/>
      <c r="AG140" s="227"/>
      <c r="AH140" s="227"/>
      <c r="AI140" s="227"/>
      <c r="AJ140" s="227"/>
      <c r="AK140" s="256"/>
      <c r="AL140" s="256"/>
      <c r="AM140" s="256"/>
      <c r="AN140" s="256"/>
      <c r="AO140" s="256"/>
      <c r="AP140" s="256"/>
      <c r="AQ140" s="275"/>
      <c r="AR140" s="276"/>
      <c r="AS140" s="276"/>
      <c r="AT140" s="276"/>
      <c r="AU140" s="275"/>
      <c r="AV140" s="275"/>
      <c r="AW140" s="275"/>
      <c r="AX140" s="275"/>
      <c r="AY140" s="275"/>
      <c r="AZ140" s="275"/>
    </row>
    <row r="141" spans="1:52">
      <c r="A141" s="227"/>
      <c r="B141" s="227"/>
      <c r="C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  <c r="AB141" s="227"/>
      <c r="AC141" s="227"/>
      <c r="AD141" s="227"/>
      <c r="AE141" s="227"/>
      <c r="AF141" s="227"/>
      <c r="AG141" s="227"/>
      <c r="AH141" s="227"/>
      <c r="AI141" s="227"/>
      <c r="AJ141" s="227"/>
      <c r="AK141" s="256"/>
      <c r="AL141" s="256"/>
      <c r="AM141" s="256"/>
      <c r="AN141" s="256"/>
      <c r="AO141" s="256"/>
      <c r="AP141" s="256"/>
      <c r="AQ141" s="275"/>
      <c r="AR141" s="276"/>
      <c r="AS141" s="276"/>
      <c r="AT141" s="276"/>
      <c r="AU141" s="275"/>
      <c r="AV141" s="275"/>
      <c r="AW141" s="275"/>
      <c r="AX141" s="275"/>
      <c r="AY141" s="275"/>
      <c r="AZ141" s="275"/>
    </row>
    <row r="142" spans="1:52">
      <c r="A142" s="227"/>
      <c r="B142" s="227"/>
      <c r="C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  <c r="AB142" s="227"/>
      <c r="AC142" s="227"/>
      <c r="AD142" s="227"/>
      <c r="AE142" s="227"/>
      <c r="AF142" s="227"/>
      <c r="AG142" s="227"/>
      <c r="AH142" s="227"/>
      <c r="AI142" s="227"/>
      <c r="AJ142" s="227"/>
      <c r="AK142" s="256"/>
      <c r="AL142" s="256"/>
      <c r="AM142" s="256"/>
      <c r="AN142" s="256"/>
      <c r="AO142" s="256"/>
      <c r="AP142" s="256"/>
      <c r="AQ142" s="275"/>
      <c r="AR142" s="276"/>
      <c r="AS142" s="276"/>
      <c r="AT142" s="276"/>
      <c r="AU142" s="275"/>
      <c r="AV142" s="275"/>
      <c r="AW142" s="275"/>
      <c r="AX142" s="275"/>
      <c r="AY142" s="275"/>
      <c r="AZ142" s="275"/>
    </row>
    <row r="143" spans="1:52">
      <c r="A143" s="227"/>
      <c r="B143" s="227"/>
      <c r="C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  <c r="AB143" s="227"/>
      <c r="AC143" s="227"/>
      <c r="AD143" s="227"/>
      <c r="AE143" s="227"/>
      <c r="AF143" s="227"/>
      <c r="AG143" s="227"/>
      <c r="AH143" s="227"/>
      <c r="AI143" s="227"/>
      <c r="AJ143" s="227"/>
      <c r="AK143" s="256"/>
      <c r="AL143" s="256"/>
      <c r="AM143" s="256"/>
      <c r="AN143" s="256"/>
      <c r="AO143" s="256"/>
      <c r="AP143" s="256"/>
      <c r="AQ143" s="275"/>
      <c r="AR143" s="276"/>
      <c r="AS143" s="276"/>
      <c r="AT143" s="276"/>
      <c r="AU143" s="275"/>
      <c r="AV143" s="275"/>
      <c r="AW143" s="275"/>
      <c r="AX143" s="275"/>
      <c r="AY143" s="275"/>
      <c r="AZ143" s="275"/>
    </row>
    <row r="144" spans="1:52">
      <c r="A144" s="227"/>
      <c r="B144" s="227"/>
      <c r="C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  <c r="AB144" s="227"/>
      <c r="AC144" s="227"/>
      <c r="AD144" s="227"/>
      <c r="AE144" s="227"/>
      <c r="AF144" s="227"/>
      <c r="AG144" s="227"/>
      <c r="AH144" s="227"/>
      <c r="AI144" s="227"/>
      <c r="AJ144" s="227"/>
      <c r="AK144" s="256"/>
      <c r="AL144" s="256"/>
      <c r="AM144" s="256"/>
      <c r="AN144" s="256"/>
      <c r="AO144" s="256"/>
      <c r="AP144" s="256"/>
      <c r="AQ144" s="275"/>
      <c r="AR144" s="276"/>
      <c r="AS144" s="276"/>
      <c r="AT144" s="276"/>
      <c r="AU144" s="275"/>
      <c r="AV144" s="275"/>
      <c r="AW144" s="275"/>
      <c r="AX144" s="275"/>
      <c r="AY144" s="275"/>
      <c r="AZ144" s="275"/>
    </row>
    <row r="145" spans="1:52">
      <c r="A145" s="227"/>
      <c r="B145" s="227"/>
      <c r="C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  <c r="AB145" s="227"/>
      <c r="AC145" s="227"/>
      <c r="AD145" s="227"/>
      <c r="AE145" s="227"/>
      <c r="AF145" s="227"/>
      <c r="AG145" s="227"/>
      <c r="AH145" s="227"/>
      <c r="AI145" s="227"/>
      <c r="AJ145" s="227"/>
      <c r="AK145" s="256"/>
      <c r="AL145" s="256"/>
      <c r="AM145" s="256"/>
      <c r="AN145" s="256"/>
      <c r="AO145" s="256"/>
      <c r="AP145" s="256"/>
      <c r="AQ145" s="275"/>
      <c r="AR145" s="276"/>
      <c r="AS145" s="276"/>
      <c r="AT145" s="276"/>
      <c r="AU145" s="275"/>
      <c r="AV145" s="275"/>
      <c r="AW145" s="275"/>
      <c r="AX145" s="275"/>
      <c r="AY145" s="275"/>
      <c r="AZ145" s="275"/>
    </row>
    <row r="146" spans="1:52">
      <c r="A146" s="227"/>
      <c r="B146" s="227"/>
      <c r="C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  <c r="AB146" s="227"/>
      <c r="AC146" s="227"/>
      <c r="AD146" s="227"/>
      <c r="AE146" s="227"/>
      <c r="AF146" s="227"/>
      <c r="AG146" s="227"/>
      <c r="AH146" s="227"/>
      <c r="AI146" s="227"/>
      <c r="AJ146" s="227"/>
      <c r="AK146" s="256"/>
      <c r="AL146" s="256"/>
      <c r="AM146" s="256"/>
      <c r="AN146" s="256"/>
      <c r="AO146" s="256"/>
      <c r="AP146" s="256"/>
      <c r="AQ146" s="275"/>
      <c r="AR146" s="276"/>
      <c r="AS146" s="276"/>
      <c r="AT146" s="276"/>
      <c r="AU146" s="275"/>
      <c r="AV146" s="275"/>
      <c r="AW146" s="275"/>
      <c r="AX146" s="275"/>
      <c r="AY146" s="275"/>
      <c r="AZ146" s="275"/>
    </row>
    <row r="147" spans="1:52">
      <c r="A147" s="227"/>
      <c r="B147" s="227"/>
      <c r="C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  <c r="AB147" s="227"/>
      <c r="AC147" s="227"/>
      <c r="AD147" s="227"/>
      <c r="AE147" s="227"/>
      <c r="AF147" s="227"/>
      <c r="AG147" s="227"/>
      <c r="AH147" s="227"/>
      <c r="AI147" s="227"/>
      <c r="AJ147" s="227"/>
      <c r="AK147" s="256"/>
      <c r="AL147" s="256"/>
      <c r="AM147" s="256"/>
      <c r="AN147" s="256"/>
      <c r="AO147" s="256"/>
      <c r="AP147" s="256"/>
      <c r="AQ147" s="275"/>
      <c r="AR147" s="276"/>
      <c r="AS147" s="276"/>
      <c r="AT147" s="276"/>
      <c r="AU147" s="275"/>
      <c r="AV147" s="275"/>
      <c r="AW147" s="275"/>
      <c r="AX147" s="275"/>
      <c r="AY147" s="275"/>
      <c r="AZ147" s="275"/>
    </row>
    <row r="148" spans="1:52">
      <c r="A148" s="227"/>
      <c r="B148" s="227"/>
      <c r="C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  <c r="AB148" s="227"/>
      <c r="AC148" s="227"/>
      <c r="AD148" s="227"/>
      <c r="AE148" s="227"/>
      <c r="AF148" s="227"/>
      <c r="AG148" s="227"/>
      <c r="AH148" s="227"/>
      <c r="AI148" s="227"/>
      <c r="AJ148" s="227"/>
      <c r="AK148" s="256"/>
      <c r="AL148" s="256"/>
      <c r="AM148" s="256"/>
      <c r="AN148" s="256"/>
      <c r="AO148" s="256"/>
      <c r="AP148" s="256"/>
      <c r="AQ148" s="275"/>
      <c r="AR148" s="276"/>
      <c r="AS148" s="276"/>
      <c r="AT148" s="276"/>
      <c r="AU148" s="275"/>
      <c r="AV148" s="275"/>
      <c r="AW148" s="275"/>
      <c r="AX148" s="275"/>
      <c r="AY148" s="275"/>
      <c r="AZ148" s="275"/>
    </row>
    <row r="149" spans="1:52">
      <c r="A149" s="227"/>
      <c r="B149" s="227"/>
      <c r="C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  <c r="AB149" s="227"/>
      <c r="AC149" s="227"/>
      <c r="AD149" s="227"/>
      <c r="AE149" s="227"/>
      <c r="AF149" s="227"/>
      <c r="AG149" s="227"/>
      <c r="AH149" s="227"/>
      <c r="AI149" s="227"/>
      <c r="AJ149" s="227"/>
      <c r="AK149" s="256"/>
      <c r="AL149" s="256"/>
      <c r="AM149" s="256"/>
      <c r="AN149" s="256"/>
      <c r="AO149" s="256"/>
      <c r="AP149" s="256"/>
      <c r="AQ149" s="275"/>
      <c r="AR149" s="276"/>
      <c r="AS149" s="276"/>
      <c r="AT149" s="276"/>
      <c r="AU149" s="275"/>
      <c r="AV149" s="275"/>
      <c r="AW149" s="275"/>
      <c r="AX149" s="275"/>
      <c r="AY149" s="275"/>
      <c r="AZ149" s="275"/>
    </row>
    <row r="150" spans="1:52">
      <c r="A150" s="227"/>
      <c r="B150" s="227"/>
      <c r="C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  <c r="AB150" s="227"/>
      <c r="AC150" s="227"/>
      <c r="AD150" s="227"/>
      <c r="AE150" s="227"/>
      <c r="AF150" s="227"/>
      <c r="AG150" s="227"/>
      <c r="AH150" s="227"/>
      <c r="AI150" s="227"/>
      <c r="AJ150" s="227"/>
      <c r="AK150" s="256"/>
      <c r="AL150" s="256"/>
      <c r="AM150" s="256"/>
      <c r="AN150" s="256"/>
      <c r="AO150" s="256"/>
      <c r="AP150" s="256"/>
      <c r="AQ150" s="275"/>
      <c r="AR150" s="276"/>
      <c r="AS150" s="276"/>
      <c r="AT150" s="276"/>
      <c r="AU150" s="275"/>
      <c r="AV150" s="275"/>
      <c r="AW150" s="275"/>
      <c r="AX150" s="275"/>
      <c r="AY150" s="275"/>
      <c r="AZ150" s="275"/>
    </row>
    <row r="151" spans="1:52">
      <c r="A151" s="227"/>
      <c r="B151" s="227"/>
      <c r="C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  <c r="AB151" s="227"/>
      <c r="AC151" s="227"/>
      <c r="AD151" s="227"/>
      <c r="AE151" s="227"/>
      <c r="AF151" s="227"/>
      <c r="AG151" s="227"/>
      <c r="AH151" s="227"/>
      <c r="AI151" s="227"/>
      <c r="AJ151" s="227"/>
      <c r="AK151" s="256"/>
      <c r="AL151" s="256"/>
      <c r="AM151" s="256"/>
      <c r="AN151" s="256"/>
      <c r="AO151" s="256"/>
      <c r="AP151" s="256"/>
      <c r="AQ151" s="275"/>
      <c r="AR151" s="276"/>
      <c r="AS151" s="276"/>
      <c r="AT151" s="276"/>
      <c r="AU151" s="275"/>
      <c r="AV151" s="275"/>
      <c r="AW151" s="275"/>
      <c r="AX151" s="275"/>
      <c r="AY151" s="275"/>
      <c r="AZ151" s="275"/>
    </row>
    <row r="152" spans="1:52">
      <c r="A152" s="227"/>
      <c r="B152" s="227"/>
      <c r="C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  <c r="AB152" s="227"/>
      <c r="AC152" s="227"/>
      <c r="AD152" s="227"/>
      <c r="AE152" s="227"/>
      <c r="AF152" s="227"/>
      <c r="AG152" s="227"/>
      <c r="AH152" s="227"/>
      <c r="AI152" s="227"/>
      <c r="AJ152" s="227"/>
      <c r="AK152" s="256"/>
      <c r="AL152" s="256"/>
      <c r="AM152" s="256"/>
      <c r="AN152" s="256"/>
      <c r="AO152" s="256"/>
      <c r="AP152" s="256"/>
      <c r="AQ152" s="275"/>
      <c r="AR152" s="276"/>
      <c r="AS152" s="276"/>
      <c r="AT152" s="276"/>
      <c r="AU152" s="275"/>
      <c r="AV152" s="275"/>
      <c r="AW152" s="275"/>
      <c r="AX152" s="275"/>
      <c r="AY152" s="275"/>
      <c r="AZ152" s="275"/>
    </row>
    <row r="153" spans="1:52">
      <c r="A153" s="227"/>
      <c r="B153" s="227"/>
      <c r="C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  <c r="AB153" s="227"/>
      <c r="AC153" s="227"/>
      <c r="AD153" s="227"/>
      <c r="AE153" s="227"/>
      <c r="AF153" s="227"/>
      <c r="AG153" s="227"/>
      <c r="AH153" s="227"/>
      <c r="AI153" s="227"/>
      <c r="AJ153" s="227"/>
      <c r="AK153" s="256"/>
      <c r="AL153" s="256"/>
      <c r="AM153" s="256"/>
      <c r="AN153" s="256"/>
      <c r="AO153" s="256"/>
      <c r="AP153" s="256"/>
      <c r="AQ153" s="275"/>
      <c r="AR153" s="276"/>
      <c r="AS153" s="276"/>
      <c r="AT153" s="276"/>
      <c r="AU153" s="275"/>
      <c r="AV153" s="275"/>
      <c r="AW153" s="275"/>
      <c r="AX153" s="275"/>
      <c r="AY153" s="275"/>
      <c r="AZ153" s="275"/>
    </row>
    <row r="154" spans="1:52">
      <c r="A154" s="227"/>
      <c r="B154" s="227"/>
      <c r="C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  <c r="AB154" s="227"/>
      <c r="AC154" s="227"/>
      <c r="AD154" s="227"/>
      <c r="AE154" s="227"/>
      <c r="AF154" s="227"/>
      <c r="AG154" s="227"/>
      <c r="AH154" s="227"/>
      <c r="AI154" s="227"/>
      <c r="AJ154" s="227"/>
      <c r="AK154" s="256"/>
      <c r="AL154" s="256"/>
      <c r="AM154" s="256"/>
      <c r="AN154" s="256"/>
      <c r="AO154" s="256"/>
      <c r="AP154" s="256"/>
      <c r="AQ154" s="275"/>
      <c r="AR154" s="276"/>
      <c r="AS154" s="276"/>
      <c r="AT154" s="276"/>
      <c r="AU154" s="275"/>
      <c r="AV154" s="275"/>
      <c r="AW154" s="275"/>
      <c r="AX154" s="275"/>
      <c r="AY154" s="275"/>
      <c r="AZ154" s="275"/>
    </row>
    <row r="155" spans="1:52">
      <c r="A155" s="227"/>
      <c r="B155" s="227"/>
      <c r="C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  <c r="AB155" s="227"/>
      <c r="AC155" s="227"/>
      <c r="AD155" s="227"/>
      <c r="AE155" s="227"/>
      <c r="AF155" s="227"/>
      <c r="AG155" s="227"/>
      <c r="AH155" s="227"/>
      <c r="AI155" s="227"/>
      <c r="AJ155" s="227"/>
      <c r="AK155" s="256"/>
      <c r="AL155" s="256"/>
      <c r="AM155" s="256"/>
      <c r="AN155" s="256"/>
      <c r="AO155" s="256"/>
      <c r="AP155" s="256"/>
      <c r="AQ155" s="275"/>
      <c r="AR155" s="276"/>
      <c r="AS155" s="276"/>
      <c r="AT155" s="276"/>
      <c r="AU155" s="275"/>
      <c r="AV155" s="275"/>
      <c r="AW155" s="275"/>
      <c r="AX155" s="275"/>
      <c r="AY155" s="275"/>
      <c r="AZ155" s="275"/>
    </row>
    <row r="156" spans="1:52">
      <c r="A156" s="227"/>
      <c r="B156" s="227"/>
      <c r="C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  <c r="AB156" s="227"/>
      <c r="AC156" s="227"/>
      <c r="AD156" s="227"/>
      <c r="AE156" s="227"/>
      <c r="AF156" s="227"/>
      <c r="AG156" s="227"/>
      <c r="AH156" s="227"/>
      <c r="AI156" s="227"/>
      <c r="AJ156" s="227"/>
      <c r="AK156" s="256"/>
      <c r="AL156" s="256"/>
      <c r="AM156" s="256"/>
      <c r="AN156" s="256"/>
      <c r="AO156" s="256"/>
      <c r="AP156" s="256"/>
      <c r="AQ156" s="275"/>
      <c r="AR156" s="276"/>
      <c r="AS156" s="276"/>
      <c r="AT156" s="276"/>
      <c r="AU156" s="275"/>
      <c r="AV156" s="275"/>
      <c r="AW156" s="275"/>
      <c r="AX156" s="275"/>
      <c r="AY156" s="275"/>
      <c r="AZ156" s="275"/>
    </row>
    <row r="157" spans="1:52">
      <c r="A157" s="227"/>
      <c r="B157" s="227"/>
      <c r="C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  <c r="AB157" s="227"/>
      <c r="AC157" s="227"/>
      <c r="AD157" s="227"/>
      <c r="AE157" s="227"/>
      <c r="AF157" s="227"/>
      <c r="AG157" s="227"/>
      <c r="AH157" s="227"/>
      <c r="AI157" s="227"/>
      <c r="AJ157" s="227"/>
      <c r="AK157" s="256"/>
      <c r="AL157" s="256"/>
      <c r="AM157" s="256"/>
      <c r="AN157" s="256"/>
      <c r="AO157" s="256"/>
      <c r="AP157" s="256"/>
      <c r="AQ157" s="275"/>
      <c r="AR157" s="276"/>
      <c r="AS157" s="276"/>
      <c r="AT157" s="276"/>
      <c r="AU157" s="275"/>
      <c r="AV157" s="275"/>
      <c r="AW157" s="275"/>
      <c r="AX157" s="275"/>
      <c r="AY157" s="275"/>
      <c r="AZ157" s="275"/>
    </row>
    <row r="158" spans="1:52">
      <c r="A158" s="227"/>
      <c r="B158" s="227"/>
      <c r="C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  <c r="AB158" s="227"/>
      <c r="AC158" s="227"/>
      <c r="AD158" s="227"/>
      <c r="AE158" s="227"/>
      <c r="AF158" s="227"/>
      <c r="AG158" s="227"/>
      <c r="AH158" s="227"/>
      <c r="AI158" s="227"/>
      <c r="AJ158" s="227"/>
      <c r="AK158" s="256"/>
      <c r="AL158" s="256"/>
      <c r="AM158" s="256"/>
      <c r="AN158" s="256"/>
      <c r="AO158" s="256"/>
      <c r="AP158" s="256"/>
      <c r="AQ158" s="275"/>
      <c r="AR158" s="276"/>
      <c r="AS158" s="276"/>
      <c r="AT158" s="276"/>
      <c r="AU158" s="275"/>
      <c r="AV158" s="275"/>
      <c r="AW158" s="275"/>
      <c r="AX158" s="275"/>
      <c r="AY158" s="275"/>
      <c r="AZ158" s="275"/>
    </row>
    <row r="159" spans="1:52">
      <c r="A159" s="227"/>
      <c r="B159" s="227"/>
      <c r="C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  <c r="AB159" s="227"/>
      <c r="AC159" s="227"/>
      <c r="AD159" s="227"/>
      <c r="AE159" s="227"/>
      <c r="AF159" s="227"/>
      <c r="AG159" s="227"/>
      <c r="AH159" s="227"/>
      <c r="AI159" s="227"/>
      <c r="AJ159" s="227"/>
      <c r="AK159" s="256"/>
      <c r="AL159" s="256"/>
      <c r="AM159" s="256"/>
      <c r="AN159" s="256"/>
      <c r="AO159" s="256"/>
      <c r="AP159" s="256"/>
      <c r="AQ159" s="275"/>
      <c r="AR159" s="276"/>
      <c r="AS159" s="276"/>
      <c r="AT159" s="276"/>
      <c r="AU159" s="275"/>
      <c r="AV159" s="275"/>
      <c r="AW159" s="275"/>
      <c r="AX159" s="275"/>
      <c r="AY159" s="275"/>
      <c r="AZ159" s="275"/>
    </row>
    <row r="160" spans="1:52">
      <c r="A160" s="227"/>
      <c r="B160" s="227"/>
      <c r="C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  <c r="AB160" s="227"/>
      <c r="AC160" s="227"/>
      <c r="AD160" s="227"/>
      <c r="AE160" s="227"/>
      <c r="AF160" s="227"/>
      <c r="AG160" s="227"/>
      <c r="AH160" s="227"/>
      <c r="AI160" s="227"/>
      <c r="AJ160" s="227"/>
      <c r="AK160" s="256"/>
      <c r="AL160" s="256"/>
      <c r="AM160" s="256"/>
      <c r="AN160" s="256"/>
      <c r="AO160" s="256"/>
      <c r="AP160" s="256"/>
      <c r="AQ160" s="275"/>
      <c r="AR160" s="276"/>
      <c r="AS160" s="276"/>
      <c r="AT160" s="276"/>
      <c r="AU160" s="275"/>
      <c r="AV160" s="275"/>
      <c r="AW160" s="275"/>
      <c r="AX160" s="275"/>
      <c r="AY160" s="275"/>
      <c r="AZ160" s="275"/>
    </row>
    <row r="161" spans="1:52">
      <c r="A161" s="227"/>
      <c r="B161" s="227"/>
      <c r="C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  <c r="AB161" s="227"/>
      <c r="AC161" s="227"/>
      <c r="AD161" s="227"/>
      <c r="AE161" s="227"/>
      <c r="AF161" s="227"/>
      <c r="AG161" s="227"/>
      <c r="AH161" s="227"/>
      <c r="AI161" s="227"/>
      <c r="AJ161" s="227"/>
      <c r="AK161" s="256"/>
      <c r="AL161" s="256"/>
      <c r="AM161" s="256"/>
      <c r="AN161" s="256"/>
      <c r="AO161" s="256"/>
      <c r="AP161" s="256"/>
      <c r="AQ161" s="275"/>
      <c r="AR161" s="276"/>
      <c r="AS161" s="276"/>
      <c r="AT161" s="276"/>
      <c r="AU161" s="275"/>
      <c r="AV161" s="275"/>
      <c r="AW161" s="275"/>
      <c r="AX161" s="275"/>
      <c r="AY161" s="275"/>
      <c r="AZ161" s="275"/>
    </row>
    <row r="162" spans="1:52">
      <c r="A162" s="227"/>
      <c r="B162" s="227"/>
      <c r="C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  <c r="AB162" s="227"/>
      <c r="AC162" s="227"/>
      <c r="AD162" s="227"/>
      <c r="AE162" s="227"/>
      <c r="AF162" s="227"/>
      <c r="AG162" s="227"/>
      <c r="AH162" s="227"/>
      <c r="AI162" s="227"/>
      <c r="AJ162" s="227"/>
      <c r="AK162" s="256"/>
      <c r="AL162" s="256"/>
      <c r="AM162" s="256"/>
      <c r="AN162" s="256"/>
      <c r="AO162" s="256"/>
      <c r="AP162" s="256"/>
      <c r="AQ162" s="275"/>
      <c r="AR162" s="276"/>
      <c r="AS162" s="276"/>
      <c r="AT162" s="276"/>
      <c r="AU162" s="275"/>
      <c r="AV162" s="275"/>
      <c r="AW162" s="275"/>
      <c r="AX162" s="275"/>
      <c r="AY162" s="275"/>
      <c r="AZ162" s="275"/>
    </row>
    <row r="163" spans="1:52">
      <c r="A163" s="227"/>
      <c r="B163" s="227"/>
      <c r="C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  <c r="AB163" s="227"/>
      <c r="AC163" s="227"/>
      <c r="AD163" s="227"/>
      <c r="AE163" s="227"/>
      <c r="AF163" s="227"/>
      <c r="AG163" s="227"/>
      <c r="AH163" s="227"/>
      <c r="AI163" s="227"/>
      <c r="AJ163" s="227"/>
      <c r="AK163" s="256"/>
      <c r="AL163" s="256"/>
      <c r="AM163" s="256"/>
      <c r="AN163" s="256"/>
      <c r="AO163" s="256"/>
      <c r="AP163" s="256"/>
      <c r="AQ163" s="275"/>
      <c r="AR163" s="276"/>
      <c r="AS163" s="276"/>
      <c r="AT163" s="276"/>
      <c r="AU163" s="275"/>
      <c r="AV163" s="275"/>
      <c r="AW163" s="275"/>
      <c r="AX163" s="275"/>
      <c r="AY163" s="275"/>
      <c r="AZ163" s="275"/>
    </row>
    <row r="164" spans="1:52">
      <c r="A164" s="227"/>
      <c r="B164" s="227"/>
      <c r="C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  <c r="AB164" s="227"/>
      <c r="AC164" s="227"/>
      <c r="AD164" s="227"/>
      <c r="AE164" s="227"/>
      <c r="AF164" s="227"/>
      <c r="AG164" s="227"/>
      <c r="AH164" s="227"/>
      <c r="AI164" s="227"/>
      <c r="AJ164" s="227"/>
      <c r="AK164" s="256"/>
      <c r="AL164" s="256"/>
      <c r="AM164" s="256"/>
      <c r="AN164" s="256"/>
      <c r="AO164" s="256"/>
      <c r="AP164" s="256"/>
      <c r="AQ164" s="275"/>
      <c r="AR164" s="276"/>
      <c r="AS164" s="276"/>
      <c r="AT164" s="276"/>
      <c r="AU164" s="275"/>
      <c r="AV164" s="275"/>
      <c r="AW164" s="275"/>
      <c r="AX164" s="275"/>
      <c r="AY164" s="275"/>
      <c r="AZ164" s="275"/>
    </row>
    <row r="165" spans="1:52">
      <c r="A165" s="227"/>
      <c r="B165" s="227"/>
      <c r="C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  <c r="AB165" s="227"/>
      <c r="AC165" s="227"/>
      <c r="AD165" s="227"/>
      <c r="AE165" s="227"/>
      <c r="AF165" s="227"/>
      <c r="AG165" s="227"/>
      <c r="AH165" s="227"/>
      <c r="AI165" s="227"/>
      <c r="AJ165" s="227"/>
      <c r="AK165" s="256"/>
      <c r="AL165" s="256"/>
      <c r="AM165" s="256"/>
      <c r="AN165" s="256"/>
      <c r="AO165" s="256"/>
      <c r="AP165" s="256"/>
      <c r="AQ165" s="275"/>
      <c r="AR165" s="276"/>
      <c r="AS165" s="276"/>
      <c r="AT165" s="276"/>
      <c r="AU165" s="275"/>
      <c r="AV165" s="275"/>
      <c r="AW165" s="275"/>
      <c r="AX165" s="275"/>
      <c r="AY165" s="275"/>
      <c r="AZ165" s="275"/>
    </row>
    <row r="166" spans="1:52">
      <c r="A166" s="227"/>
      <c r="B166" s="227"/>
      <c r="C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  <c r="AB166" s="227"/>
      <c r="AC166" s="227"/>
      <c r="AD166" s="227"/>
      <c r="AE166" s="227"/>
      <c r="AF166" s="227"/>
      <c r="AG166" s="227"/>
      <c r="AH166" s="227"/>
      <c r="AI166" s="227"/>
      <c r="AJ166" s="227"/>
      <c r="AK166" s="256"/>
      <c r="AL166" s="256"/>
      <c r="AM166" s="256"/>
      <c r="AN166" s="256"/>
      <c r="AO166" s="256"/>
      <c r="AP166" s="256"/>
      <c r="AQ166" s="275"/>
      <c r="AR166" s="276"/>
      <c r="AS166" s="276"/>
      <c r="AT166" s="276"/>
      <c r="AU166" s="275"/>
      <c r="AV166" s="275"/>
      <c r="AW166" s="275"/>
      <c r="AX166" s="275"/>
      <c r="AY166" s="275"/>
      <c r="AZ166" s="275"/>
    </row>
    <row r="167" spans="1:52">
      <c r="A167" s="227"/>
      <c r="B167" s="227"/>
      <c r="C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  <c r="AB167" s="227"/>
      <c r="AC167" s="227"/>
      <c r="AD167" s="227"/>
      <c r="AE167" s="227"/>
      <c r="AF167" s="227"/>
      <c r="AG167" s="227"/>
      <c r="AH167" s="227"/>
      <c r="AI167" s="227"/>
      <c r="AJ167" s="227"/>
      <c r="AK167" s="256"/>
      <c r="AL167" s="256"/>
      <c r="AM167" s="256"/>
      <c r="AN167" s="256"/>
      <c r="AO167" s="256"/>
      <c r="AP167" s="256"/>
      <c r="AQ167" s="275"/>
      <c r="AR167" s="276"/>
      <c r="AS167" s="276"/>
      <c r="AT167" s="276"/>
      <c r="AU167" s="275"/>
      <c r="AV167" s="275"/>
      <c r="AW167" s="275"/>
      <c r="AX167" s="275"/>
      <c r="AY167" s="275"/>
      <c r="AZ167" s="275"/>
    </row>
    <row r="168" spans="1:52">
      <c r="A168" s="227"/>
      <c r="B168" s="227"/>
      <c r="C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  <c r="AB168" s="227"/>
      <c r="AC168" s="227"/>
      <c r="AD168" s="227"/>
      <c r="AE168" s="227"/>
      <c r="AF168" s="227"/>
      <c r="AG168" s="227"/>
      <c r="AH168" s="227"/>
      <c r="AI168" s="227"/>
      <c r="AJ168" s="227"/>
      <c r="AK168" s="256"/>
      <c r="AL168" s="256"/>
      <c r="AM168" s="256"/>
      <c r="AN168" s="256"/>
      <c r="AO168" s="256"/>
      <c r="AP168" s="256"/>
      <c r="AQ168" s="275"/>
      <c r="AR168" s="276"/>
      <c r="AS168" s="276"/>
      <c r="AT168" s="276"/>
      <c r="AU168" s="275"/>
      <c r="AV168" s="275"/>
      <c r="AW168" s="275"/>
      <c r="AX168" s="275"/>
      <c r="AY168" s="275"/>
      <c r="AZ168" s="275"/>
    </row>
    <row r="169" spans="1:52">
      <c r="A169" s="227"/>
      <c r="B169" s="227"/>
      <c r="C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  <c r="AB169" s="227"/>
      <c r="AC169" s="227"/>
      <c r="AD169" s="227"/>
      <c r="AE169" s="227"/>
      <c r="AF169" s="227"/>
      <c r="AG169" s="227"/>
      <c r="AH169" s="227"/>
      <c r="AI169" s="227"/>
      <c r="AJ169" s="227"/>
      <c r="AK169" s="256"/>
      <c r="AL169" s="256"/>
      <c r="AM169" s="256"/>
      <c r="AN169" s="256"/>
      <c r="AO169" s="256"/>
      <c r="AP169" s="256"/>
      <c r="AQ169" s="275"/>
      <c r="AR169" s="276"/>
      <c r="AS169" s="276"/>
      <c r="AT169" s="276"/>
      <c r="AU169" s="275"/>
      <c r="AV169" s="275"/>
      <c r="AW169" s="275"/>
      <c r="AX169" s="275"/>
      <c r="AY169" s="275"/>
      <c r="AZ169" s="275"/>
    </row>
    <row r="170" spans="1:52">
      <c r="A170" s="227"/>
      <c r="B170" s="227"/>
      <c r="C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  <c r="AB170" s="227"/>
      <c r="AC170" s="227"/>
      <c r="AD170" s="227"/>
      <c r="AE170" s="227"/>
      <c r="AF170" s="227"/>
      <c r="AG170" s="227"/>
      <c r="AH170" s="227"/>
      <c r="AI170" s="227"/>
      <c r="AJ170" s="227"/>
      <c r="AK170" s="256"/>
      <c r="AL170" s="256"/>
      <c r="AM170" s="256"/>
      <c r="AN170" s="256"/>
      <c r="AO170" s="256"/>
      <c r="AP170" s="256"/>
      <c r="AQ170" s="275"/>
      <c r="AR170" s="276"/>
      <c r="AS170" s="276"/>
      <c r="AT170" s="276"/>
      <c r="AU170" s="275"/>
      <c r="AV170" s="275"/>
      <c r="AW170" s="275"/>
      <c r="AX170" s="275"/>
      <c r="AY170" s="275"/>
      <c r="AZ170" s="275"/>
    </row>
    <row r="171" spans="1:52">
      <c r="A171" s="227"/>
      <c r="B171" s="227"/>
      <c r="C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  <c r="AB171" s="227"/>
      <c r="AC171" s="227"/>
      <c r="AD171" s="227"/>
      <c r="AE171" s="227"/>
      <c r="AF171" s="227"/>
      <c r="AG171" s="227"/>
      <c r="AH171" s="227"/>
      <c r="AI171" s="227"/>
      <c r="AJ171" s="227"/>
      <c r="AK171" s="256"/>
      <c r="AL171" s="256"/>
      <c r="AM171" s="256"/>
      <c r="AN171" s="256"/>
      <c r="AO171" s="256"/>
      <c r="AP171" s="256"/>
      <c r="AQ171" s="275"/>
      <c r="AR171" s="276"/>
      <c r="AS171" s="276"/>
      <c r="AT171" s="276"/>
      <c r="AU171" s="275"/>
      <c r="AV171" s="275"/>
      <c r="AW171" s="275"/>
      <c r="AX171" s="275"/>
      <c r="AY171" s="275"/>
      <c r="AZ171" s="275"/>
    </row>
    <row r="172" spans="1:52">
      <c r="A172" s="227"/>
      <c r="B172" s="227"/>
      <c r="C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  <c r="AB172" s="227"/>
      <c r="AC172" s="227"/>
      <c r="AD172" s="227"/>
      <c r="AE172" s="227"/>
      <c r="AF172" s="227"/>
      <c r="AG172" s="227"/>
      <c r="AH172" s="227"/>
      <c r="AI172" s="227"/>
      <c r="AJ172" s="227"/>
      <c r="AK172" s="256"/>
      <c r="AL172" s="256"/>
      <c r="AM172" s="256"/>
      <c r="AN172" s="256"/>
      <c r="AO172" s="256"/>
      <c r="AP172" s="256"/>
      <c r="AQ172" s="275"/>
      <c r="AR172" s="276"/>
      <c r="AS172" s="276"/>
      <c r="AT172" s="276"/>
      <c r="AU172" s="275"/>
      <c r="AV172" s="275"/>
      <c r="AW172" s="275"/>
      <c r="AX172" s="275"/>
      <c r="AY172" s="275"/>
      <c r="AZ172" s="275"/>
    </row>
    <row r="173" spans="1:52">
      <c r="A173" s="227"/>
      <c r="B173" s="227"/>
      <c r="C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  <c r="AB173" s="227"/>
      <c r="AC173" s="227"/>
      <c r="AD173" s="227"/>
      <c r="AE173" s="227"/>
      <c r="AF173" s="227"/>
      <c r="AG173" s="227"/>
      <c r="AH173" s="227"/>
      <c r="AI173" s="227"/>
      <c r="AJ173" s="227"/>
      <c r="AK173" s="256"/>
      <c r="AL173" s="256"/>
      <c r="AM173" s="256"/>
      <c r="AN173" s="256"/>
      <c r="AO173" s="256"/>
      <c r="AP173" s="256"/>
      <c r="AQ173" s="275"/>
      <c r="AR173" s="276"/>
      <c r="AS173" s="276"/>
      <c r="AT173" s="276"/>
      <c r="AU173" s="275"/>
      <c r="AV173" s="275"/>
      <c r="AW173" s="275"/>
      <c r="AX173" s="275"/>
      <c r="AY173" s="275"/>
      <c r="AZ173" s="275"/>
    </row>
    <row r="174" spans="1:52">
      <c r="A174" s="227"/>
      <c r="B174" s="227"/>
      <c r="C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  <c r="AB174" s="227"/>
      <c r="AC174" s="227"/>
      <c r="AD174" s="227"/>
      <c r="AE174" s="227"/>
      <c r="AF174" s="227"/>
      <c r="AG174" s="227"/>
      <c r="AH174" s="227"/>
      <c r="AI174" s="227"/>
      <c r="AJ174" s="227"/>
      <c r="AK174" s="256"/>
      <c r="AL174" s="256"/>
      <c r="AM174" s="256"/>
      <c r="AN174" s="256"/>
      <c r="AO174" s="256"/>
      <c r="AP174" s="256"/>
      <c r="AQ174" s="275"/>
      <c r="AR174" s="276"/>
      <c r="AS174" s="276"/>
      <c r="AT174" s="276"/>
      <c r="AU174" s="275"/>
      <c r="AV174" s="275"/>
      <c r="AW174" s="275"/>
      <c r="AX174" s="275"/>
      <c r="AY174" s="275"/>
      <c r="AZ174" s="275"/>
    </row>
    <row r="175" spans="1:52">
      <c r="A175" s="227"/>
      <c r="B175" s="227"/>
      <c r="C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  <c r="AB175" s="227"/>
      <c r="AC175" s="227"/>
      <c r="AD175" s="227"/>
      <c r="AE175" s="227"/>
      <c r="AF175" s="227"/>
      <c r="AG175" s="227"/>
      <c r="AH175" s="227"/>
      <c r="AI175" s="227"/>
      <c r="AJ175" s="227"/>
      <c r="AK175" s="256"/>
      <c r="AL175" s="256"/>
      <c r="AM175" s="256"/>
      <c r="AN175" s="256"/>
      <c r="AO175" s="256"/>
      <c r="AP175" s="256"/>
      <c r="AQ175" s="275"/>
      <c r="AR175" s="276"/>
      <c r="AS175" s="276"/>
      <c r="AT175" s="276"/>
      <c r="AU175" s="275"/>
      <c r="AV175" s="275"/>
      <c r="AW175" s="275"/>
      <c r="AX175" s="275"/>
      <c r="AY175" s="275"/>
      <c r="AZ175" s="275"/>
    </row>
    <row r="176" spans="1:52">
      <c r="A176" s="227"/>
      <c r="B176" s="227"/>
      <c r="C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  <c r="AB176" s="227"/>
      <c r="AC176" s="227"/>
      <c r="AD176" s="227"/>
      <c r="AE176" s="227"/>
      <c r="AF176" s="227"/>
      <c r="AG176" s="227"/>
      <c r="AH176" s="227"/>
      <c r="AI176" s="227"/>
      <c r="AJ176" s="227"/>
      <c r="AK176" s="256"/>
      <c r="AL176" s="256"/>
      <c r="AM176" s="256"/>
      <c r="AN176" s="256"/>
      <c r="AO176" s="256"/>
      <c r="AP176" s="256"/>
      <c r="AQ176" s="275"/>
      <c r="AR176" s="276"/>
      <c r="AS176" s="276"/>
      <c r="AT176" s="276"/>
      <c r="AU176" s="275"/>
      <c r="AV176" s="275"/>
      <c r="AW176" s="275"/>
      <c r="AX176" s="275"/>
      <c r="AY176" s="275"/>
      <c r="AZ176" s="275"/>
    </row>
    <row r="177" spans="1:52">
      <c r="A177" s="227"/>
      <c r="B177" s="227"/>
      <c r="C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  <c r="AB177" s="227"/>
      <c r="AC177" s="227"/>
      <c r="AD177" s="227"/>
      <c r="AE177" s="227"/>
      <c r="AF177" s="227"/>
      <c r="AG177" s="227"/>
      <c r="AH177" s="227"/>
      <c r="AI177" s="227"/>
      <c r="AJ177" s="227"/>
      <c r="AK177" s="256"/>
      <c r="AL177" s="256"/>
      <c r="AM177" s="256"/>
      <c r="AN177" s="256"/>
      <c r="AO177" s="256"/>
      <c r="AP177" s="256"/>
      <c r="AQ177" s="275"/>
      <c r="AR177" s="276"/>
      <c r="AS177" s="276"/>
      <c r="AT177" s="276"/>
      <c r="AU177" s="275"/>
      <c r="AV177" s="275"/>
      <c r="AW177" s="275"/>
      <c r="AX177" s="275"/>
      <c r="AY177" s="275"/>
      <c r="AZ177" s="275"/>
    </row>
    <row r="178" spans="1:52">
      <c r="A178" s="227"/>
      <c r="B178" s="227"/>
      <c r="C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  <c r="AB178" s="227"/>
      <c r="AC178" s="227"/>
      <c r="AD178" s="227"/>
      <c r="AE178" s="227"/>
      <c r="AF178" s="227"/>
      <c r="AG178" s="227"/>
      <c r="AH178" s="227"/>
      <c r="AI178" s="227"/>
      <c r="AJ178" s="227"/>
      <c r="AK178" s="256"/>
      <c r="AL178" s="256"/>
      <c r="AM178" s="256"/>
      <c r="AN178" s="256"/>
      <c r="AO178" s="256"/>
      <c r="AP178" s="256"/>
      <c r="AQ178" s="275"/>
      <c r="AR178" s="276"/>
      <c r="AS178" s="276"/>
      <c r="AT178" s="276"/>
      <c r="AU178" s="275"/>
      <c r="AV178" s="275"/>
      <c r="AW178" s="275"/>
      <c r="AX178" s="275"/>
      <c r="AY178" s="275"/>
      <c r="AZ178" s="275"/>
    </row>
    <row r="179" spans="1:52">
      <c r="A179" s="227"/>
      <c r="B179" s="227"/>
      <c r="C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  <c r="AB179" s="227"/>
      <c r="AC179" s="227"/>
      <c r="AD179" s="227"/>
      <c r="AE179" s="227"/>
      <c r="AF179" s="227"/>
      <c r="AG179" s="227"/>
      <c r="AH179" s="227"/>
      <c r="AI179" s="227"/>
      <c r="AJ179" s="227"/>
      <c r="AK179" s="256"/>
      <c r="AL179" s="256"/>
      <c r="AM179" s="256"/>
      <c r="AN179" s="256"/>
      <c r="AO179" s="256"/>
      <c r="AP179" s="256"/>
      <c r="AQ179" s="275"/>
      <c r="AR179" s="276"/>
      <c r="AS179" s="276"/>
      <c r="AT179" s="276"/>
      <c r="AU179" s="275"/>
      <c r="AV179" s="275"/>
      <c r="AW179" s="275"/>
      <c r="AX179" s="275"/>
      <c r="AY179" s="275"/>
      <c r="AZ179" s="275"/>
    </row>
    <row r="180" spans="1:52">
      <c r="A180" s="227"/>
      <c r="B180" s="227"/>
      <c r="C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  <c r="AB180" s="227"/>
      <c r="AC180" s="227"/>
      <c r="AD180" s="227"/>
      <c r="AE180" s="227"/>
      <c r="AF180" s="227"/>
      <c r="AG180" s="227"/>
      <c r="AH180" s="227"/>
      <c r="AI180" s="227"/>
      <c r="AJ180" s="227"/>
      <c r="AK180" s="256"/>
      <c r="AL180" s="256"/>
      <c r="AM180" s="256"/>
      <c r="AN180" s="256"/>
      <c r="AO180" s="256"/>
      <c r="AP180" s="256"/>
      <c r="AQ180" s="275"/>
      <c r="AR180" s="276"/>
      <c r="AS180" s="276"/>
      <c r="AT180" s="276"/>
      <c r="AU180" s="275"/>
      <c r="AV180" s="275"/>
      <c r="AW180" s="275"/>
      <c r="AX180" s="275"/>
      <c r="AY180" s="275"/>
      <c r="AZ180" s="275"/>
    </row>
    <row r="181" spans="1:52">
      <c r="A181" s="227"/>
      <c r="B181" s="227"/>
      <c r="C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  <c r="AB181" s="227"/>
      <c r="AC181" s="227"/>
      <c r="AD181" s="227"/>
      <c r="AE181" s="227"/>
      <c r="AF181" s="227"/>
      <c r="AG181" s="227"/>
      <c r="AH181" s="227"/>
      <c r="AI181" s="227"/>
      <c r="AJ181" s="227"/>
      <c r="AK181" s="256"/>
      <c r="AL181" s="256"/>
      <c r="AM181" s="256"/>
      <c r="AN181" s="256"/>
      <c r="AO181" s="256"/>
      <c r="AP181" s="256"/>
      <c r="AQ181" s="275"/>
      <c r="AR181" s="276"/>
      <c r="AS181" s="276"/>
      <c r="AT181" s="276"/>
      <c r="AU181" s="275"/>
      <c r="AV181" s="275"/>
      <c r="AW181" s="275"/>
      <c r="AX181" s="275"/>
      <c r="AY181" s="275"/>
      <c r="AZ181" s="275"/>
    </row>
    <row r="182" spans="1:52">
      <c r="A182" s="227"/>
      <c r="B182" s="227"/>
      <c r="C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  <c r="AB182" s="227"/>
      <c r="AC182" s="227"/>
      <c r="AD182" s="227"/>
      <c r="AE182" s="227"/>
      <c r="AF182" s="227"/>
      <c r="AG182" s="227"/>
      <c r="AH182" s="227"/>
      <c r="AI182" s="227"/>
      <c r="AJ182" s="227"/>
      <c r="AK182" s="256"/>
      <c r="AL182" s="256"/>
      <c r="AM182" s="256"/>
      <c r="AN182" s="256"/>
      <c r="AO182" s="256"/>
      <c r="AP182" s="256"/>
      <c r="AQ182" s="275"/>
      <c r="AR182" s="276"/>
      <c r="AS182" s="276"/>
      <c r="AT182" s="276"/>
      <c r="AU182" s="275"/>
      <c r="AV182" s="275"/>
      <c r="AW182" s="275"/>
      <c r="AX182" s="275"/>
      <c r="AY182" s="275"/>
      <c r="AZ182" s="275"/>
    </row>
    <row r="183" spans="1:52">
      <c r="A183" s="227"/>
      <c r="B183" s="227"/>
      <c r="C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  <c r="AB183" s="227"/>
      <c r="AC183" s="227"/>
      <c r="AD183" s="227"/>
      <c r="AE183" s="227"/>
      <c r="AF183" s="227"/>
      <c r="AG183" s="227"/>
      <c r="AH183" s="227"/>
      <c r="AI183" s="227"/>
      <c r="AJ183" s="227"/>
      <c r="AK183" s="256"/>
      <c r="AL183" s="256"/>
      <c r="AM183" s="256"/>
      <c r="AN183" s="256"/>
      <c r="AO183" s="256"/>
      <c r="AP183" s="256"/>
      <c r="AQ183" s="275"/>
      <c r="AR183" s="276"/>
      <c r="AS183" s="276"/>
      <c r="AT183" s="276"/>
      <c r="AU183" s="275"/>
      <c r="AV183" s="275"/>
      <c r="AW183" s="275"/>
      <c r="AX183" s="275"/>
      <c r="AY183" s="275"/>
      <c r="AZ183" s="275"/>
    </row>
    <row r="184" spans="1:52">
      <c r="A184" s="227"/>
      <c r="B184" s="227"/>
      <c r="C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  <c r="AB184" s="227"/>
      <c r="AC184" s="227"/>
      <c r="AD184" s="227"/>
      <c r="AE184" s="227"/>
      <c r="AF184" s="227"/>
      <c r="AG184" s="227"/>
      <c r="AH184" s="227"/>
      <c r="AI184" s="227"/>
      <c r="AJ184" s="227"/>
      <c r="AK184" s="256"/>
      <c r="AL184" s="256"/>
      <c r="AM184" s="256"/>
      <c r="AN184" s="256"/>
      <c r="AO184" s="256"/>
      <c r="AP184" s="256"/>
      <c r="AQ184" s="275"/>
      <c r="AR184" s="276"/>
      <c r="AS184" s="276"/>
      <c r="AT184" s="276"/>
      <c r="AU184" s="275"/>
      <c r="AV184" s="275"/>
      <c r="AW184" s="275"/>
      <c r="AX184" s="275"/>
      <c r="AY184" s="275"/>
      <c r="AZ184" s="275"/>
    </row>
    <row r="185" spans="1:52">
      <c r="A185" s="227"/>
      <c r="B185" s="227"/>
      <c r="C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  <c r="AB185" s="227"/>
      <c r="AC185" s="227"/>
      <c r="AD185" s="227"/>
      <c r="AE185" s="227"/>
      <c r="AF185" s="227"/>
      <c r="AG185" s="227"/>
      <c r="AH185" s="227"/>
      <c r="AI185" s="227"/>
      <c r="AJ185" s="227"/>
      <c r="AK185" s="256"/>
      <c r="AL185" s="256"/>
      <c r="AM185" s="256"/>
      <c r="AN185" s="256"/>
      <c r="AO185" s="256"/>
      <c r="AP185" s="256"/>
      <c r="AQ185" s="275"/>
      <c r="AR185" s="276"/>
      <c r="AS185" s="276"/>
      <c r="AT185" s="276"/>
      <c r="AU185" s="275"/>
      <c r="AV185" s="275"/>
      <c r="AW185" s="275"/>
      <c r="AX185" s="275"/>
      <c r="AY185" s="275"/>
      <c r="AZ185" s="275"/>
    </row>
    <row r="186" spans="1:52">
      <c r="A186" s="227"/>
      <c r="B186" s="227"/>
      <c r="C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  <c r="AB186" s="227"/>
      <c r="AC186" s="227"/>
      <c r="AD186" s="227"/>
      <c r="AE186" s="227"/>
      <c r="AF186" s="227"/>
      <c r="AG186" s="227"/>
      <c r="AH186" s="227"/>
      <c r="AI186" s="227"/>
      <c r="AJ186" s="227"/>
      <c r="AK186" s="256"/>
      <c r="AL186" s="256"/>
      <c r="AM186" s="256"/>
      <c r="AN186" s="256"/>
      <c r="AO186" s="256"/>
      <c r="AP186" s="256"/>
      <c r="AQ186" s="275"/>
      <c r="AR186" s="276"/>
      <c r="AS186" s="276"/>
      <c r="AT186" s="276"/>
      <c r="AU186" s="275"/>
      <c r="AV186" s="275"/>
      <c r="AW186" s="275"/>
      <c r="AX186" s="275"/>
      <c r="AY186" s="275"/>
      <c r="AZ186" s="275"/>
    </row>
    <row r="187" spans="1:52">
      <c r="A187" s="227"/>
      <c r="B187" s="227"/>
      <c r="C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  <c r="AB187" s="227"/>
      <c r="AC187" s="227"/>
      <c r="AD187" s="227"/>
      <c r="AE187" s="227"/>
      <c r="AF187" s="227"/>
      <c r="AG187" s="227"/>
      <c r="AH187" s="227"/>
      <c r="AI187" s="227"/>
      <c r="AJ187" s="227"/>
      <c r="AK187" s="256"/>
      <c r="AL187" s="256"/>
      <c r="AM187" s="256"/>
      <c r="AN187" s="256"/>
      <c r="AO187" s="256"/>
      <c r="AP187" s="256"/>
      <c r="AQ187" s="275"/>
      <c r="AR187" s="276"/>
      <c r="AS187" s="276"/>
      <c r="AT187" s="276"/>
      <c r="AU187" s="275"/>
      <c r="AV187" s="275"/>
      <c r="AW187" s="275"/>
      <c r="AX187" s="275"/>
      <c r="AY187" s="275"/>
      <c r="AZ187" s="275"/>
    </row>
    <row r="188" spans="1:52">
      <c r="A188" s="227"/>
      <c r="B188" s="227"/>
      <c r="C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  <c r="AB188" s="227"/>
      <c r="AC188" s="227"/>
      <c r="AD188" s="227"/>
      <c r="AE188" s="227"/>
      <c r="AF188" s="227"/>
      <c r="AG188" s="227"/>
      <c r="AH188" s="227"/>
      <c r="AI188" s="227"/>
      <c r="AJ188" s="227"/>
      <c r="AK188" s="256"/>
      <c r="AL188" s="256"/>
      <c r="AM188" s="256"/>
      <c r="AN188" s="256"/>
      <c r="AO188" s="256"/>
      <c r="AP188" s="256"/>
      <c r="AQ188" s="275"/>
      <c r="AR188" s="276"/>
      <c r="AS188" s="276"/>
      <c r="AT188" s="276"/>
      <c r="AU188" s="275"/>
      <c r="AV188" s="275"/>
      <c r="AW188" s="275"/>
      <c r="AX188" s="275"/>
      <c r="AY188" s="275"/>
      <c r="AZ188" s="275"/>
    </row>
    <row r="189" spans="1:52">
      <c r="A189" s="227"/>
      <c r="B189" s="227"/>
      <c r="C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  <c r="AB189" s="227"/>
      <c r="AC189" s="227"/>
      <c r="AD189" s="227"/>
      <c r="AE189" s="227"/>
      <c r="AF189" s="227"/>
      <c r="AG189" s="227"/>
      <c r="AH189" s="227"/>
      <c r="AI189" s="227"/>
      <c r="AJ189" s="227"/>
      <c r="AK189" s="256"/>
      <c r="AL189" s="256"/>
      <c r="AM189" s="256"/>
      <c r="AN189" s="256"/>
      <c r="AO189" s="256"/>
      <c r="AP189" s="256"/>
      <c r="AQ189" s="275"/>
      <c r="AR189" s="276"/>
      <c r="AS189" s="276"/>
      <c r="AT189" s="276"/>
      <c r="AU189" s="275"/>
      <c r="AV189" s="275"/>
      <c r="AW189" s="275"/>
      <c r="AX189" s="275"/>
      <c r="AY189" s="275"/>
      <c r="AZ189" s="275"/>
    </row>
    <row r="190" spans="1:52">
      <c r="A190" s="227"/>
      <c r="B190" s="227"/>
      <c r="C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  <c r="AB190" s="227"/>
      <c r="AC190" s="227"/>
      <c r="AD190" s="227"/>
      <c r="AE190" s="227"/>
      <c r="AF190" s="227"/>
      <c r="AG190" s="227"/>
      <c r="AH190" s="227"/>
      <c r="AI190" s="227"/>
      <c r="AJ190" s="227"/>
      <c r="AK190" s="256"/>
      <c r="AL190" s="256"/>
      <c r="AM190" s="256"/>
      <c r="AN190" s="256"/>
      <c r="AO190" s="256"/>
      <c r="AP190" s="256"/>
      <c r="AQ190" s="275"/>
      <c r="AR190" s="276"/>
      <c r="AS190" s="276"/>
      <c r="AT190" s="276"/>
      <c r="AU190" s="275"/>
      <c r="AV190" s="275"/>
      <c r="AW190" s="275"/>
      <c r="AX190" s="275"/>
      <c r="AY190" s="275"/>
      <c r="AZ190" s="275"/>
    </row>
    <row r="191" spans="1:52">
      <c r="A191" s="227"/>
      <c r="B191" s="227"/>
      <c r="C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  <c r="AB191" s="227"/>
      <c r="AC191" s="227"/>
      <c r="AD191" s="227"/>
      <c r="AE191" s="227"/>
      <c r="AF191" s="227"/>
      <c r="AG191" s="227"/>
      <c r="AH191" s="227"/>
      <c r="AI191" s="227"/>
      <c r="AJ191" s="227"/>
      <c r="AK191" s="256"/>
      <c r="AL191" s="256"/>
      <c r="AM191" s="256"/>
      <c r="AN191" s="256"/>
      <c r="AO191" s="256"/>
      <c r="AP191" s="256"/>
      <c r="AQ191" s="275"/>
      <c r="AR191" s="276"/>
      <c r="AS191" s="276"/>
      <c r="AT191" s="276"/>
      <c r="AU191" s="275"/>
      <c r="AV191" s="275"/>
      <c r="AW191" s="275"/>
      <c r="AX191" s="275"/>
      <c r="AY191" s="275"/>
      <c r="AZ191" s="275"/>
    </row>
    <row r="192" spans="1:52">
      <c r="A192" s="227"/>
      <c r="B192" s="227"/>
      <c r="C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  <c r="AB192" s="227"/>
      <c r="AC192" s="227"/>
      <c r="AD192" s="227"/>
      <c r="AE192" s="227"/>
      <c r="AF192" s="227"/>
      <c r="AG192" s="227"/>
      <c r="AH192" s="227"/>
      <c r="AI192" s="227"/>
      <c r="AJ192" s="227"/>
      <c r="AK192" s="256"/>
      <c r="AL192" s="256"/>
      <c r="AM192" s="256"/>
      <c r="AN192" s="256"/>
      <c r="AO192" s="256"/>
      <c r="AP192" s="256"/>
      <c r="AQ192" s="275"/>
      <c r="AR192" s="276"/>
      <c r="AS192" s="276"/>
      <c r="AT192" s="276"/>
      <c r="AU192" s="275"/>
      <c r="AV192" s="275"/>
      <c r="AW192" s="275"/>
      <c r="AX192" s="275"/>
      <c r="AY192" s="275"/>
      <c r="AZ192" s="275"/>
    </row>
    <row r="193" spans="1:52">
      <c r="A193" s="227"/>
      <c r="B193" s="227"/>
      <c r="C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  <c r="AB193" s="227"/>
      <c r="AC193" s="227"/>
      <c r="AD193" s="227"/>
      <c r="AE193" s="227"/>
      <c r="AF193" s="227"/>
      <c r="AG193" s="227"/>
      <c r="AH193" s="227"/>
      <c r="AI193" s="227"/>
      <c r="AJ193" s="227"/>
      <c r="AK193" s="256"/>
      <c r="AL193" s="256"/>
      <c r="AM193" s="256"/>
      <c r="AN193" s="256"/>
      <c r="AO193" s="256"/>
      <c r="AP193" s="256"/>
      <c r="AQ193" s="275"/>
      <c r="AR193" s="276"/>
      <c r="AS193" s="276"/>
      <c r="AT193" s="276"/>
      <c r="AU193" s="275"/>
      <c r="AV193" s="275"/>
      <c r="AW193" s="275"/>
      <c r="AX193" s="275"/>
      <c r="AY193" s="275"/>
      <c r="AZ193" s="275"/>
    </row>
    <row r="194" spans="1:52">
      <c r="A194" s="227"/>
      <c r="B194" s="227"/>
      <c r="C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  <c r="AB194" s="227"/>
      <c r="AC194" s="227"/>
      <c r="AD194" s="227"/>
      <c r="AE194" s="227"/>
      <c r="AF194" s="227"/>
      <c r="AG194" s="227"/>
      <c r="AH194" s="227"/>
      <c r="AI194" s="227"/>
      <c r="AJ194" s="227"/>
      <c r="AK194" s="256"/>
      <c r="AL194" s="256"/>
      <c r="AM194" s="256"/>
      <c r="AN194" s="256"/>
      <c r="AO194" s="256"/>
      <c r="AP194" s="256"/>
      <c r="AQ194" s="275"/>
      <c r="AR194" s="276"/>
      <c r="AS194" s="276"/>
      <c r="AT194" s="276"/>
      <c r="AU194" s="275"/>
      <c r="AV194" s="275"/>
      <c r="AW194" s="275"/>
      <c r="AX194" s="275"/>
      <c r="AY194" s="275"/>
      <c r="AZ194" s="275"/>
    </row>
    <row r="195" spans="1:52">
      <c r="A195" s="227"/>
      <c r="B195" s="227"/>
      <c r="C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  <c r="AB195" s="227"/>
      <c r="AC195" s="227"/>
      <c r="AD195" s="227"/>
      <c r="AE195" s="227"/>
      <c r="AF195" s="227"/>
      <c r="AG195" s="227"/>
      <c r="AH195" s="227"/>
      <c r="AI195" s="227"/>
      <c r="AJ195" s="227"/>
      <c r="AK195" s="256"/>
      <c r="AL195" s="256"/>
      <c r="AM195" s="256"/>
      <c r="AN195" s="256"/>
      <c r="AO195" s="256"/>
      <c r="AP195" s="256"/>
      <c r="AQ195" s="275"/>
      <c r="AR195" s="276"/>
      <c r="AS195" s="276"/>
      <c r="AT195" s="276"/>
      <c r="AU195" s="275"/>
      <c r="AV195" s="275"/>
      <c r="AW195" s="275"/>
      <c r="AX195" s="275"/>
      <c r="AY195" s="275"/>
      <c r="AZ195" s="275"/>
    </row>
    <row r="196" spans="1:52">
      <c r="A196" s="227"/>
      <c r="B196" s="227"/>
      <c r="C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  <c r="AB196" s="227"/>
      <c r="AC196" s="227"/>
      <c r="AD196" s="227"/>
      <c r="AE196" s="227"/>
      <c r="AF196" s="227"/>
      <c r="AG196" s="227"/>
      <c r="AH196" s="227"/>
      <c r="AI196" s="227"/>
      <c r="AJ196" s="227"/>
      <c r="AK196" s="256"/>
      <c r="AL196" s="256"/>
      <c r="AM196" s="256"/>
      <c r="AN196" s="256"/>
      <c r="AO196" s="256"/>
      <c r="AP196" s="256"/>
      <c r="AQ196" s="275"/>
      <c r="AR196" s="276"/>
      <c r="AS196" s="276"/>
      <c r="AT196" s="276"/>
      <c r="AU196" s="275"/>
      <c r="AV196" s="275"/>
      <c r="AW196" s="275"/>
      <c r="AX196" s="275"/>
      <c r="AY196" s="275"/>
      <c r="AZ196" s="275"/>
    </row>
    <row r="197" spans="1:52">
      <c r="A197" s="227"/>
      <c r="B197" s="227"/>
      <c r="C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  <c r="AB197" s="227"/>
      <c r="AC197" s="227"/>
      <c r="AD197" s="227"/>
      <c r="AE197" s="227"/>
      <c r="AF197" s="227"/>
      <c r="AG197" s="227"/>
      <c r="AH197" s="227"/>
      <c r="AI197" s="227"/>
      <c r="AJ197" s="227"/>
      <c r="AK197" s="256"/>
      <c r="AL197" s="256"/>
      <c r="AM197" s="256"/>
      <c r="AN197" s="256"/>
      <c r="AO197" s="256"/>
      <c r="AP197" s="256"/>
      <c r="AQ197" s="275"/>
      <c r="AR197" s="276"/>
      <c r="AS197" s="276"/>
      <c r="AT197" s="276"/>
      <c r="AU197" s="275"/>
      <c r="AV197" s="275"/>
      <c r="AW197" s="275"/>
      <c r="AX197" s="275"/>
      <c r="AY197" s="275"/>
      <c r="AZ197" s="275"/>
    </row>
    <row r="198" spans="1:52">
      <c r="A198" s="227"/>
      <c r="B198" s="227"/>
      <c r="C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  <c r="AB198" s="227"/>
      <c r="AC198" s="227"/>
      <c r="AD198" s="227"/>
      <c r="AE198" s="227"/>
      <c r="AF198" s="227"/>
      <c r="AG198" s="227"/>
      <c r="AH198" s="227"/>
      <c r="AI198" s="227"/>
      <c r="AJ198" s="227"/>
      <c r="AK198" s="256"/>
      <c r="AL198" s="256"/>
      <c r="AM198" s="256"/>
      <c r="AN198" s="256"/>
      <c r="AO198" s="256"/>
      <c r="AP198" s="256"/>
      <c r="AQ198" s="275"/>
      <c r="AR198" s="276"/>
      <c r="AS198" s="276"/>
      <c r="AT198" s="276"/>
      <c r="AU198" s="275"/>
      <c r="AV198" s="275"/>
      <c r="AW198" s="275"/>
      <c r="AX198" s="275"/>
      <c r="AY198" s="275"/>
      <c r="AZ198" s="275"/>
    </row>
    <row r="199" spans="1:52">
      <c r="A199" s="227"/>
      <c r="B199" s="227"/>
      <c r="C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  <c r="AB199" s="227"/>
      <c r="AC199" s="227"/>
      <c r="AD199" s="227"/>
      <c r="AE199" s="227"/>
      <c r="AF199" s="227"/>
      <c r="AG199" s="227"/>
      <c r="AH199" s="227"/>
      <c r="AI199" s="227"/>
      <c r="AJ199" s="227"/>
      <c r="AK199" s="256"/>
      <c r="AL199" s="256"/>
      <c r="AM199" s="256"/>
      <c r="AN199" s="256"/>
      <c r="AO199" s="256"/>
      <c r="AP199" s="256"/>
      <c r="AQ199" s="275"/>
      <c r="AR199" s="276"/>
      <c r="AS199" s="276"/>
      <c r="AT199" s="276"/>
      <c r="AU199" s="275"/>
      <c r="AV199" s="275"/>
      <c r="AW199" s="275"/>
      <c r="AX199" s="275"/>
      <c r="AY199" s="275"/>
      <c r="AZ199" s="275"/>
    </row>
    <row r="200" spans="1:52">
      <c r="A200" s="227"/>
      <c r="B200" s="227"/>
      <c r="C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  <c r="AB200" s="227"/>
      <c r="AC200" s="227"/>
      <c r="AD200" s="227"/>
      <c r="AE200" s="227"/>
      <c r="AF200" s="227"/>
      <c r="AG200" s="227"/>
      <c r="AH200" s="227"/>
      <c r="AI200" s="227"/>
      <c r="AJ200" s="227"/>
      <c r="AK200" s="256"/>
      <c r="AL200" s="256"/>
      <c r="AM200" s="256"/>
      <c r="AN200" s="256"/>
      <c r="AO200" s="256"/>
      <c r="AP200" s="256"/>
      <c r="AQ200" s="275"/>
      <c r="AR200" s="276"/>
      <c r="AS200" s="276"/>
      <c r="AT200" s="276"/>
      <c r="AU200" s="275"/>
      <c r="AV200" s="275"/>
      <c r="AW200" s="275"/>
      <c r="AX200" s="275"/>
      <c r="AY200" s="275"/>
      <c r="AZ200" s="275"/>
    </row>
    <row r="201" spans="1:52">
      <c r="A201" s="227"/>
      <c r="B201" s="227"/>
      <c r="C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  <c r="AB201" s="227"/>
      <c r="AC201" s="227"/>
      <c r="AD201" s="227"/>
      <c r="AE201" s="227"/>
      <c r="AF201" s="227"/>
      <c r="AG201" s="227"/>
      <c r="AH201" s="227"/>
      <c r="AI201" s="227"/>
      <c r="AJ201" s="227"/>
      <c r="AK201" s="256"/>
      <c r="AL201" s="256"/>
      <c r="AM201" s="256"/>
      <c r="AN201" s="256"/>
      <c r="AO201" s="256"/>
      <c r="AP201" s="256"/>
      <c r="AQ201" s="275"/>
      <c r="AR201" s="276"/>
      <c r="AS201" s="276"/>
      <c r="AT201" s="276"/>
      <c r="AU201" s="275"/>
      <c r="AV201" s="275"/>
      <c r="AW201" s="275"/>
      <c r="AX201" s="275"/>
      <c r="AY201" s="275"/>
      <c r="AZ201" s="275"/>
    </row>
    <row r="202" spans="1:52">
      <c r="A202" s="227"/>
      <c r="B202" s="227"/>
      <c r="C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  <c r="AB202" s="227"/>
      <c r="AC202" s="227"/>
      <c r="AD202" s="227"/>
      <c r="AE202" s="227"/>
      <c r="AF202" s="227"/>
      <c r="AG202" s="227"/>
      <c r="AH202" s="227"/>
      <c r="AI202" s="227"/>
      <c r="AJ202" s="227"/>
      <c r="AK202" s="256"/>
      <c r="AL202" s="256"/>
      <c r="AM202" s="256"/>
      <c r="AN202" s="256"/>
      <c r="AO202" s="256"/>
      <c r="AP202" s="256"/>
      <c r="AQ202" s="275"/>
      <c r="AR202" s="276"/>
      <c r="AS202" s="276"/>
      <c r="AT202" s="276"/>
      <c r="AU202" s="275"/>
      <c r="AV202" s="275"/>
      <c r="AW202" s="275"/>
      <c r="AX202" s="275"/>
      <c r="AY202" s="275"/>
      <c r="AZ202" s="275"/>
    </row>
    <row r="203" spans="1:52">
      <c r="A203" s="227"/>
      <c r="B203" s="227"/>
      <c r="C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  <c r="AB203" s="227"/>
      <c r="AC203" s="227"/>
      <c r="AD203" s="227"/>
      <c r="AE203" s="227"/>
      <c r="AF203" s="227"/>
      <c r="AG203" s="227"/>
      <c r="AH203" s="227"/>
      <c r="AI203" s="227"/>
      <c r="AJ203" s="227"/>
      <c r="AK203" s="256"/>
      <c r="AL203" s="256"/>
      <c r="AM203" s="256"/>
      <c r="AN203" s="256"/>
      <c r="AO203" s="256"/>
      <c r="AP203" s="256"/>
      <c r="AQ203" s="275"/>
      <c r="AR203" s="276"/>
      <c r="AS203" s="276"/>
      <c r="AT203" s="276"/>
      <c r="AU203" s="275"/>
      <c r="AV203" s="275"/>
      <c r="AW203" s="275"/>
      <c r="AX203" s="275"/>
      <c r="AY203" s="275"/>
      <c r="AZ203" s="275"/>
    </row>
    <row r="204" spans="1:52">
      <c r="A204" s="227"/>
      <c r="B204" s="227"/>
      <c r="C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  <c r="AB204" s="227"/>
      <c r="AC204" s="227"/>
      <c r="AD204" s="227"/>
      <c r="AE204" s="227"/>
      <c r="AF204" s="227"/>
      <c r="AG204" s="227"/>
      <c r="AH204" s="227"/>
      <c r="AI204" s="227"/>
      <c r="AJ204" s="227"/>
      <c r="AK204" s="256"/>
      <c r="AL204" s="256"/>
      <c r="AM204" s="256"/>
      <c r="AN204" s="256"/>
      <c r="AO204" s="256"/>
      <c r="AP204" s="256"/>
      <c r="AQ204" s="275"/>
      <c r="AR204" s="276"/>
      <c r="AS204" s="276"/>
      <c r="AT204" s="276"/>
      <c r="AU204" s="275"/>
      <c r="AV204" s="275"/>
      <c r="AW204" s="275"/>
      <c r="AX204" s="275"/>
      <c r="AY204" s="275"/>
      <c r="AZ204" s="275"/>
    </row>
    <row r="205" spans="1:52">
      <c r="A205" s="227"/>
      <c r="B205" s="227"/>
      <c r="C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  <c r="AB205" s="227"/>
      <c r="AC205" s="227"/>
      <c r="AD205" s="227"/>
      <c r="AE205" s="227"/>
      <c r="AF205" s="227"/>
      <c r="AG205" s="227"/>
      <c r="AH205" s="227"/>
      <c r="AI205" s="227"/>
      <c r="AJ205" s="227"/>
      <c r="AK205" s="256"/>
      <c r="AL205" s="256"/>
      <c r="AM205" s="256"/>
      <c r="AN205" s="256"/>
      <c r="AO205" s="256"/>
      <c r="AP205" s="256"/>
      <c r="AQ205" s="275"/>
      <c r="AR205" s="276"/>
      <c r="AS205" s="276"/>
      <c r="AT205" s="276"/>
      <c r="AU205" s="275"/>
      <c r="AV205" s="275"/>
      <c r="AW205" s="275"/>
      <c r="AX205" s="275"/>
      <c r="AY205" s="275"/>
      <c r="AZ205" s="275"/>
    </row>
    <row r="206" spans="1:52">
      <c r="A206" s="227"/>
      <c r="B206" s="227"/>
      <c r="C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  <c r="AB206" s="227"/>
      <c r="AC206" s="227"/>
      <c r="AD206" s="227"/>
      <c r="AE206" s="227"/>
      <c r="AF206" s="227"/>
      <c r="AG206" s="227"/>
      <c r="AH206" s="227"/>
      <c r="AI206" s="227"/>
      <c r="AJ206" s="227"/>
      <c r="AK206" s="256"/>
      <c r="AL206" s="256"/>
      <c r="AM206" s="256"/>
      <c r="AN206" s="256"/>
      <c r="AO206" s="256"/>
      <c r="AP206" s="256"/>
      <c r="AQ206" s="275"/>
      <c r="AR206" s="276"/>
      <c r="AS206" s="276"/>
      <c r="AT206" s="276"/>
      <c r="AU206" s="275"/>
      <c r="AV206" s="275"/>
      <c r="AW206" s="275"/>
      <c r="AX206" s="275"/>
      <c r="AY206" s="275"/>
      <c r="AZ206" s="275"/>
    </row>
    <row r="207" spans="1:52">
      <c r="A207" s="227"/>
      <c r="B207" s="227"/>
      <c r="C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  <c r="AB207" s="227"/>
      <c r="AC207" s="227"/>
      <c r="AD207" s="227"/>
      <c r="AE207" s="227"/>
      <c r="AF207" s="227"/>
      <c r="AG207" s="227"/>
      <c r="AH207" s="227"/>
      <c r="AI207" s="227"/>
      <c r="AJ207" s="227"/>
      <c r="AK207" s="256"/>
      <c r="AL207" s="256"/>
      <c r="AM207" s="256"/>
      <c r="AN207" s="256"/>
      <c r="AO207" s="256"/>
      <c r="AP207" s="256"/>
      <c r="AQ207" s="275"/>
      <c r="AR207" s="276"/>
      <c r="AS207" s="276"/>
      <c r="AT207" s="276"/>
      <c r="AU207" s="275"/>
      <c r="AV207" s="275"/>
      <c r="AW207" s="275"/>
      <c r="AX207" s="275"/>
      <c r="AY207" s="275"/>
      <c r="AZ207" s="275"/>
    </row>
    <row r="208" spans="1:52">
      <c r="A208" s="227"/>
      <c r="B208" s="227"/>
      <c r="C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  <c r="AB208" s="227"/>
      <c r="AC208" s="227"/>
      <c r="AD208" s="227"/>
      <c r="AE208" s="227"/>
      <c r="AF208" s="227"/>
      <c r="AG208" s="227"/>
      <c r="AH208" s="227"/>
      <c r="AI208" s="227"/>
      <c r="AJ208" s="227"/>
      <c r="AK208" s="256"/>
      <c r="AL208" s="256"/>
      <c r="AM208" s="256"/>
      <c r="AN208" s="256"/>
      <c r="AO208" s="256"/>
      <c r="AP208" s="256"/>
      <c r="AQ208" s="275"/>
      <c r="AR208" s="276"/>
      <c r="AS208" s="276"/>
      <c r="AT208" s="276"/>
      <c r="AU208" s="275"/>
      <c r="AV208" s="275"/>
      <c r="AW208" s="275"/>
      <c r="AX208" s="275"/>
      <c r="AY208" s="275"/>
      <c r="AZ208" s="275"/>
    </row>
    <row r="209" spans="1:52">
      <c r="A209" s="227"/>
      <c r="B209" s="227"/>
      <c r="C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  <c r="AB209" s="227"/>
      <c r="AC209" s="227"/>
      <c r="AD209" s="227"/>
      <c r="AE209" s="227"/>
      <c r="AF209" s="227"/>
      <c r="AG209" s="227"/>
      <c r="AH209" s="227"/>
      <c r="AI209" s="227"/>
      <c r="AJ209" s="227"/>
      <c r="AK209" s="256"/>
      <c r="AL209" s="256"/>
      <c r="AM209" s="256"/>
      <c r="AN209" s="256"/>
      <c r="AO209" s="256"/>
      <c r="AP209" s="256"/>
      <c r="AQ209" s="275"/>
      <c r="AR209" s="276"/>
      <c r="AS209" s="276"/>
      <c r="AT209" s="276"/>
      <c r="AU209" s="275"/>
      <c r="AV209" s="275"/>
      <c r="AW209" s="275"/>
      <c r="AX209" s="275"/>
      <c r="AY209" s="275"/>
      <c r="AZ209" s="275"/>
    </row>
    <row r="210" spans="1:52">
      <c r="A210" s="227"/>
      <c r="B210" s="227"/>
      <c r="C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  <c r="AB210" s="227"/>
      <c r="AC210" s="227"/>
      <c r="AD210" s="227"/>
      <c r="AE210" s="227"/>
      <c r="AF210" s="227"/>
      <c r="AG210" s="227"/>
      <c r="AH210" s="227"/>
      <c r="AI210" s="227"/>
      <c r="AJ210" s="227"/>
      <c r="AK210" s="256"/>
      <c r="AL210" s="256"/>
      <c r="AM210" s="256"/>
      <c r="AN210" s="256"/>
      <c r="AO210" s="256"/>
      <c r="AP210" s="256"/>
      <c r="AQ210" s="275"/>
      <c r="AR210" s="276"/>
      <c r="AS210" s="276"/>
      <c r="AT210" s="276"/>
      <c r="AU210" s="275"/>
      <c r="AV210" s="275"/>
      <c r="AW210" s="275"/>
      <c r="AX210" s="275"/>
      <c r="AY210" s="275"/>
      <c r="AZ210" s="275"/>
    </row>
    <row r="211" spans="1:52">
      <c r="A211" s="227"/>
      <c r="B211" s="227"/>
      <c r="C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  <c r="AB211" s="227"/>
      <c r="AC211" s="227"/>
      <c r="AD211" s="227"/>
      <c r="AE211" s="227"/>
      <c r="AF211" s="227"/>
      <c r="AG211" s="227"/>
      <c r="AH211" s="227"/>
      <c r="AI211" s="227"/>
      <c r="AJ211" s="227"/>
      <c r="AK211" s="256"/>
      <c r="AL211" s="256"/>
      <c r="AM211" s="256"/>
      <c r="AN211" s="256"/>
      <c r="AO211" s="256"/>
      <c r="AP211" s="256"/>
      <c r="AQ211" s="275"/>
      <c r="AR211" s="276"/>
      <c r="AS211" s="276"/>
      <c r="AT211" s="276"/>
      <c r="AU211" s="275"/>
      <c r="AV211" s="275"/>
      <c r="AW211" s="275"/>
      <c r="AX211" s="275"/>
      <c r="AY211" s="275"/>
      <c r="AZ211" s="275"/>
    </row>
    <row r="212" spans="1:52">
      <c r="A212" s="227"/>
      <c r="B212" s="227"/>
      <c r="C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  <c r="AB212" s="227"/>
      <c r="AC212" s="227"/>
      <c r="AD212" s="227"/>
      <c r="AE212" s="227"/>
      <c r="AF212" s="227"/>
      <c r="AG212" s="227"/>
      <c r="AH212" s="227"/>
      <c r="AI212" s="227"/>
      <c r="AJ212" s="227"/>
      <c r="AK212" s="256"/>
      <c r="AL212" s="256"/>
      <c r="AM212" s="256"/>
      <c r="AN212" s="256"/>
      <c r="AO212" s="256"/>
      <c r="AP212" s="256"/>
      <c r="AQ212" s="275"/>
      <c r="AR212" s="276"/>
      <c r="AS212" s="276"/>
      <c r="AT212" s="276"/>
      <c r="AU212" s="275"/>
      <c r="AV212" s="275"/>
      <c r="AW212" s="275"/>
      <c r="AX212" s="275"/>
      <c r="AY212" s="275"/>
      <c r="AZ212" s="275"/>
    </row>
    <row r="213" spans="1:52">
      <c r="A213" s="227"/>
      <c r="B213" s="227"/>
      <c r="C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  <c r="AB213" s="227"/>
      <c r="AC213" s="227"/>
      <c r="AD213" s="227"/>
      <c r="AE213" s="227"/>
      <c r="AF213" s="227"/>
      <c r="AG213" s="227"/>
      <c r="AH213" s="227"/>
      <c r="AI213" s="227"/>
      <c r="AJ213" s="227"/>
      <c r="AK213" s="256"/>
      <c r="AL213" s="256"/>
      <c r="AM213" s="256"/>
      <c r="AN213" s="256"/>
      <c r="AO213" s="256"/>
      <c r="AP213" s="256"/>
      <c r="AQ213" s="275"/>
      <c r="AR213" s="276"/>
      <c r="AS213" s="276"/>
      <c r="AT213" s="276"/>
      <c r="AU213" s="275"/>
      <c r="AV213" s="275"/>
      <c r="AW213" s="275"/>
      <c r="AX213" s="275"/>
      <c r="AY213" s="275"/>
      <c r="AZ213" s="275"/>
    </row>
    <row r="214" spans="1:52">
      <c r="A214" s="227"/>
      <c r="B214" s="227"/>
      <c r="C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  <c r="AB214" s="227"/>
      <c r="AC214" s="227"/>
      <c r="AD214" s="227"/>
      <c r="AE214" s="227"/>
      <c r="AF214" s="227"/>
      <c r="AG214" s="227"/>
      <c r="AH214" s="227"/>
      <c r="AI214" s="227"/>
      <c r="AJ214" s="227"/>
      <c r="AK214" s="256"/>
      <c r="AL214" s="256"/>
      <c r="AM214" s="256"/>
      <c r="AN214" s="256"/>
      <c r="AO214" s="256"/>
      <c r="AP214" s="256"/>
      <c r="AQ214" s="275"/>
      <c r="AR214" s="276"/>
      <c r="AS214" s="276"/>
      <c r="AT214" s="276"/>
      <c r="AU214" s="275"/>
      <c r="AV214" s="275"/>
      <c r="AW214" s="275"/>
      <c r="AX214" s="275"/>
      <c r="AY214" s="275"/>
      <c r="AZ214" s="275"/>
    </row>
    <row r="215" spans="1:52">
      <c r="A215" s="227"/>
      <c r="B215" s="227"/>
      <c r="C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7"/>
      <c r="AG215" s="227"/>
      <c r="AH215" s="227"/>
      <c r="AI215" s="227"/>
      <c r="AJ215" s="227"/>
      <c r="AK215" s="256"/>
      <c r="AL215" s="256"/>
      <c r="AM215" s="256"/>
      <c r="AN215" s="256"/>
      <c r="AO215" s="256"/>
      <c r="AP215" s="256"/>
      <c r="AQ215" s="275"/>
      <c r="AR215" s="276"/>
      <c r="AS215" s="276"/>
      <c r="AT215" s="276"/>
      <c r="AU215" s="275"/>
      <c r="AV215" s="275"/>
      <c r="AW215" s="275"/>
      <c r="AX215" s="275"/>
      <c r="AY215" s="275"/>
      <c r="AZ215" s="275"/>
    </row>
    <row r="216" spans="1:52">
      <c r="A216" s="227"/>
      <c r="B216" s="227"/>
      <c r="C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  <c r="AB216" s="227"/>
      <c r="AC216" s="227"/>
      <c r="AD216" s="227"/>
      <c r="AE216" s="227"/>
      <c r="AF216" s="227"/>
      <c r="AG216" s="227"/>
      <c r="AH216" s="227"/>
      <c r="AI216" s="227"/>
      <c r="AJ216" s="227"/>
      <c r="AK216" s="256"/>
      <c r="AL216" s="256"/>
      <c r="AM216" s="256"/>
      <c r="AN216" s="256"/>
      <c r="AO216" s="256"/>
      <c r="AP216" s="256"/>
      <c r="AQ216" s="275"/>
      <c r="AR216" s="276"/>
      <c r="AS216" s="276"/>
      <c r="AT216" s="276"/>
      <c r="AU216" s="275"/>
      <c r="AV216" s="275"/>
      <c r="AW216" s="275"/>
      <c r="AX216" s="275"/>
      <c r="AY216" s="275"/>
      <c r="AZ216" s="275"/>
    </row>
    <row r="217" spans="1:52">
      <c r="A217" s="227"/>
      <c r="B217" s="227"/>
      <c r="C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  <c r="AB217" s="227"/>
      <c r="AC217" s="227"/>
      <c r="AD217" s="227"/>
      <c r="AE217" s="227"/>
      <c r="AF217" s="227"/>
      <c r="AG217" s="227"/>
      <c r="AH217" s="227"/>
      <c r="AI217" s="227"/>
      <c r="AJ217" s="227"/>
      <c r="AK217" s="256"/>
      <c r="AL217" s="256"/>
      <c r="AM217" s="256"/>
      <c r="AN217" s="256"/>
      <c r="AO217" s="256"/>
      <c r="AP217" s="256"/>
      <c r="AQ217" s="275"/>
      <c r="AR217" s="276"/>
      <c r="AS217" s="276"/>
      <c r="AT217" s="276"/>
      <c r="AU217" s="275"/>
      <c r="AV217" s="275"/>
      <c r="AW217" s="275"/>
      <c r="AX217" s="275"/>
      <c r="AY217" s="275"/>
      <c r="AZ217" s="275"/>
    </row>
    <row r="218" spans="1:52">
      <c r="A218" s="227"/>
      <c r="B218" s="227"/>
      <c r="C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  <c r="AB218" s="227"/>
      <c r="AC218" s="227"/>
      <c r="AD218" s="227"/>
      <c r="AE218" s="227"/>
      <c r="AF218" s="227"/>
      <c r="AG218" s="227"/>
      <c r="AH218" s="227"/>
      <c r="AI218" s="227"/>
      <c r="AJ218" s="227"/>
      <c r="AK218" s="256"/>
      <c r="AL218" s="256"/>
      <c r="AM218" s="256"/>
      <c r="AN218" s="256"/>
      <c r="AO218" s="256"/>
      <c r="AP218" s="256"/>
      <c r="AQ218" s="275"/>
      <c r="AR218" s="276"/>
      <c r="AS218" s="276"/>
      <c r="AT218" s="276"/>
      <c r="AU218" s="275"/>
      <c r="AV218" s="275"/>
      <c r="AW218" s="275"/>
      <c r="AX218" s="275"/>
      <c r="AY218" s="275"/>
      <c r="AZ218" s="275"/>
    </row>
    <row r="219" spans="1:52">
      <c r="A219" s="227"/>
      <c r="B219" s="227"/>
      <c r="C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  <c r="AB219" s="227"/>
      <c r="AC219" s="227"/>
      <c r="AD219" s="227"/>
      <c r="AE219" s="227"/>
      <c r="AF219" s="227"/>
      <c r="AG219" s="227"/>
      <c r="AH219" s="227"/>
      <c r="AI219" s="227"/>
      <c r="AJ219" s="227"/>
      <c r="AK219" s="256"/>
      <c r="AL219" s="256"/>
      <c r="AM219" s="256"/>
      <c r="AN219" s="256"/>
      <c r="AO219" s="256"/>
      <c r="AP219" s="256"/>
      <c r="AQ219" s="275"/>
      <c r="AR219" s="276"/>
      <c r="AS219" s="276"/>
      <c r="AT219" s="276"/>
      <c r="AU219" s="275"/>
      <c r="AV219" s="275"/>
      <c r="AW219" s="275"/>
      <c r="AX219" s="275"/>
      <c r="AY219" s="275"/>
      <c r="AZ219" s="275"/>
    </row>
    <row r="220" spans="1:52">
      <c r="A220" s="227"/>
      <c r="B220" s="227"/>
      <c r="C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  <c r="AB220" s="227"/>
      <c r="AC220" s="227"/>
      <c r="AD220" s="227"/>
      <c r="AE220" s="227"/>
      <c r="AF220" s="227"/>
      <c r="AG220" s="227"/>
      <c r="AH220" s="227"/>
      <c r="AI220" s="227"/>
      <c r="AJ220" s="227"/>
      <c r="AK220" s="256"/>
      <c r="AL220" s="256"/>
      <c r="AM220" s="256"/>
      <c r="AN220" s="256"/>
      <c r="AO220" s="256"/>
      <c r="AP220" s="256"/>
      <c r="AQ220" s="275"/>
      <c r="AR220" s="276"/>
      <c r="AS220" s="276"/>
      <c r="AT220" s="276"/>
      <c r="AU220" s="275"/>
      <c r="AV220" s="275"/>
      <c r="AW220" s="275"/>
      <c r="AX220" s="275"/>
      <c r="AY220" s="275"/>
      <c r="AZ220" s="275"/>
    </row>
    <row r="221" spans="1:52">
      <c r="A221" s="227"/>
      <c r="B221" s="227"/>
      <c r="C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  <c r="AB221" s="227"/>
      <c r="AC221" s="227"/>
      <c r="AD221" s="227"/>
      <c r="AE221" s="227"/>
      <c r="AF221" s="227"/>
      <c r="AG221" s="227"/>
      <c r="AH221" s="227"/>
      <c r="AI221" s="227"/>
      <c r="AJ221" s="227"/>
      <c r="AK221" s="256"/>
      <c r="AL221" s="256"/>
      <c r="AM221" s="256"/>
      <c r="AN221" s="256"/>
      <c r="AO221" s="256"/>
      <c r="AP221" s="256"/>
      <c r="AQ221" s="275"/>
      <c r="AR221" s="276"/>
      <c r="AS221" s="276"/>
      <c r="AT221" s="276"/>
      <c r="AU221" s="275"/>
      <c r="AV221" s="275"/>
      <c r="AW221" s="275"/>
      <c r="AX221" s="275"/>
      <c r="AY221" s="275"/>
      <c r="AZ221" s="275"/>
    </row>
    <row r="222" spans="1:52">
      <c r="A222" s="227"/>
      <c r="B222" s="227"/>
      <c r="C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  <c r="AB222" s="227"/>
      <c r="AC222" s="227"/>
      <c r="AD222" s="227"/>
      <c r="AE222" s="227"/>
      <c r="AF222" s="227"/>
      <c r="AG222" s="227"/>
      <c r="AH222" s="227"/>
      <c r="AI222" s="227"/>
      <c r="AJ222" s="227"/>
      <c r="AK222" s="256"/>
      <c r="AL222" s="256"/>
      <c r="AM222" s="256"/>
      <c r="AN222" s="256"/>
      <c r="AO222" s="256"/>
      <c r="AP222" s="256"/>
      <c r="AQ222" s="275"/>
      <c r="AR222" s="276"/>
      <c r="AS222" s="276"/>
      <c r="AT222" s="276"/>
      <c r="AU222" s="275"/>
      <c r="AV222" s="275"/>
      <c r="AW222" s="275"/>
      <c r="AX222" s="275"/>
      <c r="AY222" s="275"/>
      <c r="AZ222" s="275"/>
    </row>
    <row r="223" spans="1:52">
      <c r="A223" s="227"/>
      <c r="B223" s="227"/>
      <c r="C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  <c r="AB223" s="227"/>
      <c r="AC223" s="227"/>
      <c r="AD223" s="227"/>
      <c r="AE223" s="227"/>
      <c r="AF223" s="227"/>
      <c r="AG223" s="227"/>
      <c r="AH223" s="227"/>
      <c r="AI223" s="227"/>
      <c r="AJ223" s="227"/>
      <c r="AK223" s="256"/>
      <c r="AL223" s="256"/>
      <c r="AM223" s="256"/>
      <c r="AN223" s="256"/>
      <c r="AO223" s="256"/>
      <c r="AP223" s="256"/>
      <c r="AQ223" s="275"/>
      <c r="AR223" s="276"/>
      <c r="AS223" s="276"/>
      <c r="AT223" s="276"/>
      <c r="AU223" s="275"/>
      <c r="AV223" s="275"/>
      <c r="AW223" s="275"/>
      <c r="AX223" s="275"/>
      <c r="AY223" s="275"/>
      <c r="AZ223" s="275"/>
    </row>
    <row r="224" spans="1:52">
      <c r="A224" s="227"/>
      <c r="B224" s="227"/>
      <c r="C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  <c r="AB224" s="227"/>
      <c r="AC224" s="227"/>
      <c r="AD224" s="227"/>
      <c r="AE224" s="227"/>
      <c r="AF224" s="227"/>
      <c r="AG224" s="227"/>
      <c r="AH224" s="227"/>
      <c r="AI224" s="227"/>
      <c r="AJ224" s="227"/>
      <c r="AK224" s="256"/>
      <c r="AL224" s="256"/>
      <c r="AM224" s="256"/>
      <c r="AN224" s="256"/>
      <c r="AO224" s="256"/>
      <c r="AP224" s="256"/>
      <c r="AQ224" s="275"/>
      <c r="AR224" s="276"/>
      <c r="AS224" s="276"/>
      <c r="AT224" s="276"/>
      <c r="AU224" s="275"/>
      <c r="AV224" s="275"/>
      <c r="AW224" s="275"/>
      <c r="AX224" s="275"/>
      <c r="AY224" s="275"/>
      <c r="AZ224" s="275"/>
    </row>
    <row r="225" spans="1:52">
      <c r="A225" s="227"/>
      <c r="B225" s="227"/>
      <c r="C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  <c r="AB225" s="227"/>
      <c r="AC225" s="227"/>
      <c r="AD225" s="227"/>
      <c r="AE225" s="227"/>
      <c r="AF225" s="227"/>
      <c r="AG225" s="227"/>
      <c r="AH225" s="227"/>
      <c r="AI225" s="227"/>
      <c r="AJ225" s="227"/>
      <c r="AK225" s="256"/>
      <c r="AL225" s="256"/>
      <c r="AM225" s="256"/>
      <c r="AN225" s="256"/>
      <c r="AO225" s="256"/>
      <c r="AP225" s="256"/>
      <c r="AQ225" s="275"/>
      <c r="AR225" s="276"/>
      <c r="AS225" s="276"/>
      <c r="AT225" s="276"/>
      <c r="AU225" s="275"/>
      <c r="AV225" s="275"/>
      <c r="AW225" s="275"/>
      <c r="AX225" s="275"/>
      <c r="AY225" s="275"/>
      <c r="AZ225" s="275"/>
    </row>
    <row r="226" spans="1:52">
      <c r="A226" s="227"/>
      <c r="B226" s="227"/>
      <c r="C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  <c r="AB226" s="227"/>
      <c r="AC226" s="227"/>
      <c r="AD226" s="227"/>
      <c r="AE226" s="227"/>
      <c r="AF226" s="227"/>
      <c r="AG226" s="227"/>
      <c r="AH226" s="227"/>
      <c r="AI226" s="227"/>
      <c r="AJ226" s="227"/>
      <c r="AK226" s="256"/>
      <c r="AL226" s="256"/>
      <c r="AM226" s="256"/>
      <c r="AN226" s="256"/>
      <c r="AO226" s="256"/>
      <c r="AP226" s="256"/>
      <c r="AQ226" s="275"/>
      <c r="AR226" s="276"/>
      <c r="AS226" s="276"/>
      <c r="AT226" s="276"/>
      <c r="AU226" s="275"/>
      <c r="AV226" s="275"/>
      <c r="AW226" s="275"/>
      <c r="AX226" s="275"/>
      <c r="AY226" s="275"/>
      <c r="AZ226" s="275"/>
    </row>
    <row r="227" spans="1:52">
      <c r="A227" s="227"/>
      <c r="B227" s="227"/>
      <c r="C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  <c r="AB227" s="227"/>
      <c r="AC227" s="227"/>
      <c r="AD227" s="227"/>
      <c r="AE227" s="227"/>
      <c r="AF227" s="227"/>
      <c r="AG227" s="227"/>
      <c r="AH227" s="227"/>
      <c r="AI227" s="227"/>
      <c r="AJ227" s="227"/>
      <c r="AK227" s="256"/>
      <c r="AL227" s="256"/>
      <c r="AM227" s="256"/>
      <c r="AN227" s="256"/>
      <c r="AO227" s="256"/>
      <c r="AP227" s="256"/>
      <c r="AQ227" s="275"/>
      <c r="AR227" s="276"/>
      <c r="AS227" s="276"/>
      <c r="AT227" s="276"/>
      <c r="AU227" s="275"/>
      <c r="AV227" s="275"/>
      <c r="AW227" s="275"/>
      <c r="AX227" s="275"/>
      <c r="AY227" s="275"/>
      <c r="AZ227" s="275"/>
    </row>
    <row r="228" spans="1:52">
      <c r="A228" s="227"/>
      <c r="B228" s="227"/>
      <c r="C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  <c r="AB228" s="227"/>
      <c r="AC228" s="227"/>
      <c r="AD228" s="227"/>
      <c r="AE228" s="227"/>
      <c r="AF228" s="227"/>
      <c r="AG228" s="227"/>
      <c r="AH228" s="227"/>
      <c r="AI228" s="227"/>
      <c r="AJ228" s="227"/>
      <c r="AK228" s="256"/>
      <c r="AL228" s="256"/>
      <c r="AM228" s="256"/>
      <c r="AN228" s="256"/>
      <c r="AO228" s="256"/>
      <c r="AP228" s="256"/>
      <c r="AQ228" s="275"/>
      <c r="AR228" s="276"/>
      <c r="AS228" s="276"/>
      <c r="AT228" s="276"/>
      <c r="AU228" s="275"/>
      <c r="AV228" s="275"/>
      <c r="AW228" s="275"/>
      <c r="AX228" s="275"/>
      <c r="AY228" s="275"/>
      <c r="AZ228" s="275"/>
    </row>
    <row r="229" spans="1:52">
      <c r="A229" s="227"/>
      <c r="B229" s="227"/>
      <c r="C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  <c r="AB229" s="227"/>
      <c r="AC229" s="227"/>
      <c r="AD229" s="227"/>
      <c r="AE229" s="227"/>
      <c r="AF229" s="227"/>
      <c r="AG229" s="227"/>
      <c r="AH229" s="227"/>
      <c r="AI229" s="227"/>
      <c r="AJ229" s="227"/>
      <c r="AK229" s="256"/>
      <c r="AL229" s="256"/>
      <c r="AM229" s="256"/>
      <c r="AN229" s="256"/>
      <c r="AO229" s="256"/>
      <c r="AP229" s="256"/>
      <c r="AQ229" s="275"/>
      <c r="AR229" s="276"/>
      <c r="AS229" s="276"/>
      <c r="AT229" s="276"/>
      <c r="AU229" s="275"/>
      <c r="AV229" s="275"/>
      <c r="AW229" s="275"/>
      <c r="AX229" s="275"/>
      <c r="AY229" s="275"/>
      <c r="AZ229" s="275"/>
    </row>
    <row r="230" spans="1:52">
      <c r="A230" s="227"/>
      <c r="B230" s="227"/>
      <c r="C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7"/>
      <c r="AB230" s="227"/>
      <c r="AC230" s="227"/>
      <c r="AD230" s="227"/>
      <c r="AE230" s="227"/>
      <c r="AF230" s="227"/>
      <c r="AG230" s="227"/>
      <c r="AH230" s="227"/>
      <c r="AI230" s="227"/>
      <c r="AJ230" s="227"/>
      <c r="AK230" s="256"/>
      <c r="AL230" s="256"/>
      <c r="AM230" s="256"/>
      <c r="AN230" s="256"/>
      <c r="AO230" s="256"/>
      <c r="AP230" s="256"/>
      <c r="AQ230" s="275"/>
      <c r="AR230" s="276"/>
      <c r="AS230" s="276"/>
      <c r="AT230" s="276"/>
      <c r="AU230" s="275"/>
      <c r="AV230" s="275"/>
      <c r="AW230" s="275"/>
      <c r="AX230" s="275"/>
      <c r="AY230" s="275"/>
      <c r="AZ230" s="275"/>
    </row>
    <row r="231" spans="1:52">
      <c r="A231" s="227"/>
      <c r="B231" s="227"/>
      <c r="C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  <c r="AB231" s="227"/>
      <c r="AC231" s="227"/>
      <c r="AD231" s="227"/>
      <c r="AE231" s="227"/>
      <c r="AF231" s="227"/>
      <c r="AG231" s="227"/>
      <c r="AH231" s="227"/>
      <c r="AI231" s="227"/>
      <c r="AJ231" s="227"/>
      <c r="AK231" s="256"/>
      <c r="AL231" s="256"/>
      <c r="AM231" s="256"/>
      <c r="AN231" s="256"/>
      <c r="AO231" s="256"/>
      <c r="AP231" s="256"/>
      <c r="AQ231" s="275"/>
      <c r="AR231" s="276"/>
      <c r="AS231" s="276"/>
      <c r="AT231" s="276"/>
      <c r="AU231" s="275"/>
      <c r="AV231" s="275"/>
      <c r="AW231" s="275"/>
      <c r="AX231" s="275"/>
      <c r="AY231" s="275"/>
      <c r="AZ231" s="275"/>
    </row>
    <row r="232" spans="1:52">
      <c r="A232" s="227"/>
      <c r="B232" s="227"/>
      <c r="C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7"/>
      <c r="AB232" s="227"/>
      <c r="AC232" s="227"/>
      <c r="AD232" s="227"/>
      <c r="AE232" s="227"/>
      <c r="AF232" s="227"/>
      <c r="AG232" s="227"/>
      <c r="AH232" s="227"/>
      <c r="AI232" s="227"/>
      <c r="AJ232" s="227"/>
      <c r="AK232" s="256"/>
      <c r="AL232" s="256"/>
      <c r="AM232" s="256"/>
      <c r="AN232" s="256"/>
      <c r="AO232" s="256"/>
      <c r="AP232" s="256"/>
      <c r="AQ232" s="275"/>
      <c r="AR232" s="276"/>
      <c r="AS232" s="276"/>
      <c r="AT232" s="276"/>
      <c r="AU232" s="275"/>
      <c r="AV232" s="275"/>
      <c r="AW232" s="275"/>
      <c r="AX232" s="275"/>
      <c r="AY232" s="275"/>
      <c r="AZ232" s="275"/>
    </row>
    <row r="233" spans="1:52">
      <c r="A233" s="227"/>
      <c r="B233" s="227"/>
      <c r="C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  <c r="AB233" s="227"/>
      <c r="AC233" s="227"/>
      <c r="AD233" s="227"/>
      <c r="AE233" s="227"/>
      <c r="AF233" s="227"/>
      <c r="AG233" s="227"/>
      <c r="AH233" s="227"/>
      <c r="AI233" s="227"/>
      <c r="AJ233" s="227"/>
      <c r="AK233" s="256"/>
      <c r="AL233" s="256"/>
      <c r="AM233" s="256"/>
      <c r="AN233" s="256"/>
      <c r="AO233" s="256"/>
      <c r="AP233" s="256"/>
      <c r="AQ233" s="275"/>
      <c r="AR233" s="276"/>
      <c r="AS233" s="276"/>
      <c r="AT233" s="276"/>
      <c r="AU233" s="275"/>
      <c r="AV233" s="275"/>
      <c r="AW233" s="275"/>
      <c r="AX233" s="275"/>
      <c r="AY233" s="275"/>
      <c r="AZ233" s="275"/>
    </row>
    <row r="234" spans="1:52">
      <c r="A234" s="227"/>
      <c r="B234" s="227"/>
      <c r="C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  <c r="AB234" s="227"/>
      <c r="AC234" s="227"/>
      <c r="AD234" s="227"/>
      <c r="AE234" s="227"/>
      <c r="AF234" s="227"/>
      <c r="AG234" s="227"/>
      <c r="AH234" s="227"/>
      <c r="AI234" s="227"/>
      <c r="AJ234" s="227"/>
      <c r="AK234" s="256"/>
      <c r="AL234" s="256"/>
      <c r="AM234" s="256"/>
      <c r="AN234" s="256"/>
      <c r="AO234" s="256"/>
      <c r="AP234" s="256"/>
      <c r="AQ234" s="275"/>
      <c r="AR234" s="276"/>
      <c r="AS234" s="276"/>
      <c r="AT234" s="276"/>
      <c r="AU234" s="275"/>
      <c r="AV234" s="275"/>
      <c r="AW234" s="275"/>
      <c r="AX234" s="275"/>
      <c r="AY234" s="275"/>
      <c r="AZ234" s="275"/>
    </row>
    <row r="235" spans="1:52">
      <c r="A235" s="227"/>
      <c r="B235" s="227"/>
      <c r="C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  <c r="AB235" s="227"/>
      <c r="AC235" s="227"/>
      <c r="AD235" s="227"/>
      <c r="AE235" s="227"/>
      <c r="AF235" s="227"/>
      <c r="AG235" s="227"/>
      <c r="AH235" s="227"/>
      <c r="AI235" s="227"/>
      <c r="AJ235" s="227"/>
      <c r="AK235" s="256"/>
      <c r="AL235" s="256"/>
      <c r="AM235" s="256"/>
      <c r="AN235" s="256"/>
      <c r="AO235" s="256"/>
      <c r="AP235" s="256"/>
      <c r="AQ235" s="275"/>
      <c r="AR235" s="276"/>
      <c r="AS235" s="276"/>
      <c r="AT235" s="276"/>
      <c r="AU235" s="275"/>
      <c r="AV235" s="275"/>
      <c r="AW235" s="275"/>
      <c r="AX235" s="275"/>
      <c r="AY235" s="275"/>
      <c r="AZ235" s="275"/>
    </row>
    <row r="236" spans="1:52">
      <c r="A236" s="227"/>
      <c r="B236" s="227"/>
      <c r="C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7"/>
      <c r="AB236" s="227"/>
      <c r="AC236" s="227"/>
      <c r="AD236" s="227"/>
      <c r="AE236" s="227"/>
      <c r="AF236" s="227"/>
      <c r="AG236" s="227"/>
      <c r="AH236" s="227"/>
      <c r="AI236" s="227"/>
      <c r="AJ236" s="227"/>
      <c r="AK236" s="256"/>
      <c r="AL236" s="256"/>
      <c r="AM236" s="256"/>
      <c r="AN236" s="256"/>
      <c r="AO236" s="256"/>
      <c r="AP236" s="256"/>
      <c r="AQ236" s="275"/>
      <c r="AR236" s="276"/>
      <c r="AS236" s="276"/>
      <c r="AT236" s="276"/>
      <c r="AU236" s="275"/>
      <c r="AV236" s="275"/>
      <c r="AW236" s="275"/>
      <c r="AX236" s="275"/>
      <c r="AY236" s="275"/>
      <c r="AZ236" s="275"/>
    </row>
    <row r="237" spans="1:52">
      <c r="A237" s="227"/>
      <c r="B237" s="227"/>
      <c r="C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  <c r="AB237" s="227"/>
      <c r="AC237" s="227"/>
      <c r="AD237" s="227"/>
      <c r="AE237" s="227"/>
      <c r="AF237" s="227"/>
      <c r="AG237" s="227"/>
      <c r="AH237" s="227"/>
      <c r="AI237" s="227"/>
      <c r="AJ237" s="227"/>
      <c r="AK237" s="256"/>
      <c r="AL237" s="256"/>
      <c r="AM237" s="256"/>
      <c r="AN237" s="256"/>
      <c r="AO237" s="256"/>
      <c r="AP237" s="256"/>
      <c r="AQ237" s="275"/>
      <c r="AR237" s="276"/>
      <c r="AS237" s="276"/>
      <c r="AT237" s="276"/>
      <c r="AU237" s="275"/>
      <c r="AV237" s="275"/>
      <c r="AW237" s="275"/>
      <c r="AX237" s="275"/>
      <c r="AY237" s="275"/>
      <c r="AZ237" s="275"/>
    </row>
    <row r="238" spans="1:52">
      <c r="A238" s="227"/>
      <c r="B238" s="227"/>
      <c r="C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  <c r="AA238" s="227"/>
      <c r="AB238" s="227"/>
      <c r="AC238" s="227"/>
      <c r="AD238" s="227"/>
      <c r="AE238" s="227"/>
      <c r="AF238" s="227"/>
      <c r="AG238" s="227"/>
      <c r="AH238" s="227"/>
      <c r="AI238" s="227"/>
      <c r="AJ238" s="227"/>
      <c r="AK238" s="256"/>
      <c r="AL238" s="256"/>
      <c r="AM238" s="256"/>
      <c r="AN238" s="256"/>
      <c r="AO238" s="256"/>
      <c r="AP238" s="256"/>
      <c r="AQ238" s="275"/>
      <c r="AR238" s="276"/>
      <c r="AS238" s="276"/>
      <c r="AT238" s="276"/>
      <c r="AU238" s="275"/>
      <c r="AV238" s="275"/>
      <c r="AW238" s="275"/>
      <c r="AX238" s="275"/>
      <c r="AY238" s="275"/>
      <c r="AZ238" s="275"/>
    </row>
    <row r="239" spans="1:52">
      <c r="A239" s="227"/>
      <c r="B239" s="227"/>
      <c r="C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7"/>
      <c r="AB239" s="227"/>
      <c r="AC239" s="227"/>
      <c r="AD239" s="227"/>
      <c r="AE239" s="227"/>
      <c r="AF239" s="227"/>
      <c r="AG239" s="227"/>
      <c r="AH239" s="227"/>
      <c r="AI239" s="227"/>
      <c r="AJ239" s="227"/>
      <c r="AK239" s="256"/>
      <c r="AL239" s="256"/>
      <c r="AM239" s="256"/>
      <c r="AN239" s="256"/>
      <c r="AO239" s="256"/>
      <c r="AP239" s="256"/>
      <c r="AQ239" s="275"/>
      <c r="AR239" s="276"/>
      <c r="AS239" s="276"/>
      <c r="AT239" s="276"/>
      <c r="AU239" s="275"/>
      <c r="AV239" s="275"/>
      <c r="AW239" s="275"/>
      <c r="AX239" s="275"/>
      <c r="AY239" s="275"/>
      <c r="AZ239" s="275"/>
    </row>
    <row r="240" spans="1:52">
      <c r="A240" s="227"/>
      <c r="B240" s="227"/>
      <c r="C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  <c r="AA240" s="227"/>
      <c r="AB240" s="227"/>
      <c r="AC240" s="227"/>
      <c r="AD240" s="227"/>
      <c r="AE240" s="227"/>
      <c r="AF240" s="227"/>
      <c r="AG240" s="227"/>
      <c r="AH240" s="227"/>
      <c r="AI240" s="227"/>
      <c r="AJ240" s="227"/>
      <c r="AK240" s="256"/>
      <c r="AL240" s="256"/>
      <c r="AM240" s="256"/>
      <c r="AN240" s="256"/>
      <c r="AO240" s="256"/>
      <c r="AP240" s="256"/>
      <c r="AQ240" s="275"/>
      <c r="AR240" s="276"/>
      <c r="AS240" s="276"/>
      <c r="AT240" s="276"/>
      <c r="AU240" s="275"/>
      <c r="AV240" s="275"/>
      <c r="AW240" s="275"/>
      <c r="AX240" s="275"/>
      <c r="AY240" s="275"/>
      <c r="AZ240" s="275"/>
    </row>
    <row r="241" spans="1:52">
      <c r="A241" s="227"/>
      <c r="B241" s="227"/>
      <c r="C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7"/>
      <c r="AB241" s="227"/>
      <c r="AC241" s="227"/>
      <c r="AD241" s="227"/>
      <c r="AE241" s="227"/>
      <c r="AF241" s="227"/>
      <c r="AG241" s="227"/>
      <c r="AH241" s="227"/>
      <c r="AI241" s="227"/>
      <c r="AJ241" s="227"/>
      <c r="AK241" s="256"/>
      <c r="AL241" s="256"/>
      <c r="AM241" s="256"/>
      <c r="AN241" s="256"/>
      <c r="AO241" s="256"/>
      <c r="AP241" s="256"/>
      <c r="AQ241" s="275"/>
      <c r="AR241" s="276"/>
      <c r="AS241" s="276"/>
      <c r="AT241" s="276"/>
      <c r="AU241" s="275"/>
      <c r="AV241" s="275"/>
      <c r="AW241" s="275"/>
      <c r="AX241" s="275"/>
      <c r="AY241" s="275"/>
      <c r="AZ241" s="275"/>
    </row>
    <row r="242" spans="1:52">
      <c r="A242" s="227"/>
      <c r="B242" s="227"/>
      <c r="C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  <c r="AA242" s="227"/>
      <c r="AB242" s="227"/>
      <c r="AC242" s="227"/>
      <c r="AD242" s="227"/>
      <c r="AE242" s="227"/>
      <c r="AF242" s="227"/>
      <c r="AG242" s="227"/>
      <c r="AH242" s="227"/>
      <c r="AI242" s="227"/>
      <c r="AJ242" s="227"/>
      <c r="AK242" s="256"/>
      <c r="AL242" s="256"/>
      <c r="AM242" s="256"/>
      <c r="AN242" s="256"/>
      <c r="AO242" s="256"/>
      <c r="AP242" s="256"/>
      <c r="AQ242" s="275"/>
      <c r="AR242" s="276"/>
      <c r="AS242" s="276"/>
      <c r="AT242" s="276"/>
      <c r="AU242" s="275"/>
      <c r="AV242" s="275"/>
      <c r="AW242" s="275"/>
      <c r="AX242" s="275"/>
      <c r="AY242" s="275"/>
      <c r="AZ242" s="275"/>
    </row>
    <row r="243" spans="1:52">
      <c r="A243" s="227"/>
      <c r="B243" s="227"/>
      <c r="C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7"/>
      <c r="AB243" s="227"/>
      <c r="AC243" s="227"/>
      <c r="AD243" s="227"/>
      <c r="AE243" s="227"/>
      <c r="AF243" s="227"/>
      <c r="AG243" s="227"/>
      <c r="AH243" s="227"/>
      <c r="AI243" s="227"/>
      <c r="AJ243" s="227"/>
      <c r="AK243" s="256"/>
      <c r="AL243" s="256"/>
      <c r="AM243" s="256"/>
      <c r="AN243" s="256"/>
      <c r="AO243" s="256"/>
      <c r="AP243" s="256"/>
      <c r="AQ243" s="275"/>
      <c r="AR243" s="276"/>
      <c r="AS243" s="276"/>
      <c r="AT243" s="276"/>
      <c r="AU243" s="275"/>
      <c r="AV243" s="275"/>
      <c r="AW243" s="275"/>
      <c r="AX243" s="275"/>
      <c r="AY243" s="275"/>
      <c r="AZ243" s="275"/>
    </row>
    <row r="244" spans="1:52">
      <c r="A244" s="227"/>
      <c r="B244" s="227"/>
      <c r="C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  <c r="AA244" s="227"/>
      <c r="AB244" s="227"/>
      <c r="AC244" s="227"/>
      <c r="AD244" s="227"/>
      <c r="AE244" s="227"/>
      <c r="AF244" s="227"/>
      <c r="AG244" s="227"/>
      <c r="AH244" s="227"/>
      <c r="AI244" s="227"/>
      <c r="AJ244" s="227"/>
      <c r="AK244" s="256"/>
      <c r="AL244" s="256"/>
      <c r="AM244" s="256"/>
      <c r="AN244" s="256"/>
      <c r="AO244" s="256"/>
      <c r="AP244" s="256"/>
      <c r="AQ244" s="275"/>
      <c r="AR244" s="276"/>
      <c r="AS244" s="276"/>
      <c r="AT244" s="276"/>
      <c r="AU244" s="275"/>
      <c r="AV244" s="275"/>
      <c r="AW244" s="275"/>
      <c r="AX244" s="275"/>
      <c r="AY244" s="275"/>
      <c r="AZ244" s="275"/>
    </row>
    <row r="245" spans="1:52">
      <c r="A245" s="227"/>
      <c r="B245" s="227"/>
      <c r="C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7"/>
      <c r="AB245" s="227"/>
      <c r="AC245" s="227"/>
      <c r="AD245" s="227"/>
      <c r="AE245" s="227"/>
      <c r="AF245" s="227"/>
      <c r="AG245" s="227"/>
      <c r="AH245" s="227"/>
      <c r="AI245" s="227"/>
      <c r="AJ245" s="227"/>
      <c r="AK245" s="256"/>
      <c r="AL245" s="256"/>
      <c r="AM245" s="256"/>
      <c r="AN245" s="256"/>
      <c r="AO245" s="256"/>
      <c r="AP245" s="256"/>
      <c r="AQ245" s="275"/>
      <c r="AR245" s="276"/>
      <c r="AS245" s="276"/>
      <c r="AT245" s="276"/>
      <c r="AU245" s="275"/>
      <c r="AV245" s="275"/>
      <c r="AW245" s="275"/>
      <c r="AX245" s="275"/>
      <c r="AY245" s="275"/>
      <c r="AZ245" s="275"/>
    </row>
    <row r="246" spans="1:52">
      <c r="A246" s="227"/>
      <c r="B246" s="227"/>
      <c r="C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  <c r="AA246" s="227"/>
      <c r="AB246" s="227"/>
      <c r="AC246" s="227"/>
      <c r="AD246" s="227"/>
      <c r="AE246" s="227"/>
      <c r="AF246" s="227"/>
      <c r="AG246" s="227"/>
      <c r="AH246" s="227"/>
      <c r="AI246" s="227"/>
      <c r="AJ246" s="227"/>
      <c r="AK246" s="256"/>
      <c r="AL246" s="256"/>
      <c r="AM246" s="256"/>
      <c r="AN246" s="256"/>
      <c r="AO246" s="256"/>
      <c r="AP246" s="256"/>
      <c r="AQ246" s="275"/>
      <c r="AR246" s="276"/>
      <c r="AS246" s="276"/>
      <c r="AT246" s="276"/>
      <c r="AU246" s="275"/>
      <c r="AV246" s="275"/>
      <c r="AW246" s="275"/>
      <c r="AX246" s="275"/>
      <c r="AY246" s="275"/>
      <c r="AZ246" s="275"/>
    </row>
    <row r="247" spans="1:52">
      <c r="A247" s="227"/>
      <c r="B247" s="227"/>
      <c r="C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7"/>
      <c r="AB247" s="227"/>
      <c r="AC247" s="227"/>
      <c r="AD247" s="227"/>
      <c r="AE247" s="227"/>
      <c r="AF247" s="227"/>
      <c r="AG247" s="227"/>
      <c r="AH247" s="227"/>
      <c r="AI247" s="227"/>
      <c r="AJ247" s="227"/>
      <c r="AK247" s="256"/>
      <c r="AL247" s="256"/>
      <c r="AM247" s="256"/>
      <c r="AN247" s="256"/>
      <c r="AO247" s="256"/>
      <c r="AP247" s="256"/>
      <c r="AQ247" s="275"/>
      <c r="AR247" s="276"/>
      <c r="AS247" s="276"/>
      <c r="AT247" s="276"/>
      <c r="AU247" s="275"/>
      <c r="AV247" s="275"/>
      <c r="AW247" s="275"/>
      <c r="AX247" s="275"/>
      <c r="AY247" s="275"/>
      <c r="AZ247" s="275"/>
    </row>
    <row r="248" spans="1:52">
      <c r="A248" s="227"/>
      <c r="B248" s="227"/>
      <c r="C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  <c r="AA248" s="227"/>
      <c r="AB248" s="227"/>
      <c r="AC248" s="227"/>
      <c r="AD248" s="227"/>
      <c r="AE248" s="227"/>
      <c r="AF248" s="227"/>
      <c r="AG248" s="227"/>
      <c r="AH248" s="227"/>
      <c r="AI248" s="227"/>
      <c r="AJ248" s="227"/>
      <c r="AK248" s="256"/>
      <c r="AL248" s="256"/>
      <c r="AM248" s="256"/>
      <c r="AN248" s="256"/>
      <c r="AO248" s="256"/>
      <c r="AP248" s="256"/>
      <c r="AQ248" s="275"/>
      <c r="AR248" s="276"/>
      <c r="AS248" s="276"/>
      <c r="AT248" s="276"/>
      <c r="AU248" s="275"/>
      <c r="AV248" s="275"/>
      <c r="AW248" s="275"/>
      <c r="AX248" s="275"/>
      <c r="AY248" s="275"/>
      <c r="AZ248" s="275"/>
    </row>
  </sheetData>
  <mergeCells count="88">
    <mergeCell ref="R85:S85"/>
    <mergeCell ref="T85:U85"/>
    <mergeCell ref="V85:W85"/>
    <mergeCell ref="F85:H85"/>
    <mergeCell ref="I85:J85"/>
    <mergeCell ref="K85:L85"/>
    <mergeCell ref="O85:Q85"/>
    <mergeCell ref="T83:U83"/>
    <mergeCell ref="V83:W83"/>
    <mergeCell ref="F84:H84"/>
    <mergeCell ref="I84:J84"/>
    <mergeCell ref="K84:L84"/>
    <mergeCell ref="O84:Q84"/>
    <mergeCell ref="R84:S84"/>
    <mergeCell ref="T84:U84"/>
    <mergeCell ref="V84:W84"/>
    <mergeCell ref="F83:H83"/>
    <mergeCell ref="I83:J83"/>
    <mergeCell ref="K83:L83"/>
    <mergeCell ref="O83:Q83"/>
    <mergeCell ref="R83:S83"/>
    <mergeCell ref="J7:AJ7"/>
    <mergeCell ref="J9:AJ9"/>
    <mergeCell ref="F12:AJ12"/>
    <mergeCell ref="D2:F2"/>
    <mergeCell ref="D3:F3"/>
    <mergeCell ref="D4:F4"/>
    <mergeCell ref="J4:AJ4"/>
    <mergeCell ref="J5:AJ5"/>
    <mergeCell ref="AK12:BA12"/>
    <mergeCell ref="BB12:BK12"/>
    <mergeCell ref="D77:E77"/>
    <mergeCell ref="D78:E78"/>
    <mergeCell ref="D79:E79"/>
    <mergeCell ref="Y83:AA83"/>
    <mergeCell ref="AB83:AC83"/>
    <mergeCell ref="AD83:AE83"/>
    <mergeCell ref="AF83:AH83"/>
    <mergeCell ref="D84:D86"/>
    <mergeCell ref="Y84:AA84"/>
    <mergeCell ref="AB84:AC84"/>
    <mergeCell ref="AD84:AE84"/>
    <mergeCell ref="AF84:AG84"/>
    <mergeCell ref="Y85:AA85"/>
    <mergeCell ref="AB85:AC85"/>
    <mergeCell ref="AD85:AE85"/>
    <mergeCell ref="AF85:AG85"/>
    <mergeCell ref="F86:H86"/>
    <mergeCell ref="I86:J86"/>
    <mergeCell ref="K86:L86"/>
    <mergeCell ref="O86:Q86"/>
    <mergeCell ref="R86:S86"/>
    <mergeCell ref="T86:U86"/>
    <mergeCell ref="V86:W86"/>
    <mergeCell ref="Y86:AA86"/>
    <mergeCell ref="AB86:AC86"/>
    <mergeCell ref="AD86:AE86"/>
    <mergeCell ref="AF86:AH86"/>
    <mergeCell ref="D87:D89"/>
    <mergeCell ref="F87:H87"/>
    <mergeCell ref="I87:J87"/>
    <mergeCell ref="K87:L87"/>
    <mergeCell ref="O87:Q87"/>
    <mergeCell ref="R87:S87"/>
    <mergeCell ref="T87:U87"/>
    <mergeCell ref="V87:W87"/>
    <mergeCell ref="F88:H88"/>
    <mergeCell ref="I88:J88"/>
    <mergeCell ref="K88:L88"/>
    <mergeCell ref="O88:Q88"/>
    <mergeCell ref="R88:S88"/>
    <mergeCell ref="T88:U88"/>
    <mergeCell ref="V88:W88"/>
    <mergeCell ref="F89:H89"/>
    <mergeCell ref="I89:J89"/>
    <mergeCell ref="K89:L89"/>
    <mergeCell ref="O89:Q89"/>
    <mergeCell ref="R89:S89"/>
    <mergeCell ref="T89:U89"/>
    <mergeCell ref="V89:W89"/>
    <mergeCell ref="R90:S90"/>
    <mergeCell ref="T90:U90"/>
    <mergeCell ref="V90:W90"/>
    <mergeCell ref="D90:E90"/>
    <mergeCell ref="F90:H90"/>
    <mergeCell ref="I90:J90"/>
    <mergeCell ref="K90:L90"/>
    <mergeCell ref="O90:Q9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94"/>
  <sheetViews>
    <sheetView tabSelected="1" topLeftCell="G1" workbookViewId="0">
      <selection activeCell="Y7" sqref="Y7"/>
    </sheetView>
  </sheetViews>
  <sheetFormatPr defaultColWidth="14.44140625" defaultRowHeight="15.6"/>
  <cols>
    <col min="1" max="1" width="5.5546875" style="81" customWidth="1"/>
    <col min="2" max="2" width="8.109375" style="81" customWidth="1"/>
    <col min="3" max="3" width="27.88671875" style="148" bestFit="1" customWidth="1"/>
    <col min="4" max="4" width="10.21875" style="81" customWidth="1"/>
    <col min="5" max="5" width="15.33203125" style="3" customWidth="1"/>
    <col min="6" max="6" width="10.5546875" style="81" customWidth="1"/>
    <col min="7" max="7" width="10.109375" style="81" customWidth="1"/>
    <col min="8" max="8" width="11.109375" style="81" customWidth="1"/>
    <col min="9" max="9" width="9.5546875" style="81" customWidth="1"/>
    <col min="10" max="10" width="11.5546875" style="81" customWidth="1"/>
    <col min="11" max="11" width="12.109375" style="74" customWidth="1"/>
    <col min="12" max="12" width="10.109375" style="74" customWidth="1"/>
    <col min="13" max="13" width="7.88671875" style="81" customWidth="1"/>
    <col min="14" max="14" width="8.21875" style="81" customWidth="1"/>
    <col min="15" max="15" width="9.21875" style="81" customWidth="1"/>
    <col min="16" max="16" width="10" style="81" customWidth="1"/>
    <col min="17" max="17" width="12.44140625" style="81" customWidth="1"/>
    <col min="18" max="18" width="16.33203125" style="81" customWidth="1"/>
    <col min="19" max="19" width="13.77734375" style="81" customWidth="1"/>
    <col min="20" max="20" width="14.109375" style="81" hidden="1" customWidth="1"/>
    <col min="21" max="21" width="11.33203125" style="81" hidden="1" customWidth="1"/>
    <col min="22" max="22" width="13.77734375" style="81" customWidth="1"/>
    <col min="23" max="23" width="11.33203125" style="140" hidden="1" customWidth="1"/>
    <col min="24" max="24" width="12.109375" style="74" customWidth="1"/>
    <col min="25" max="25" width="12.109375" style="81" customWidth="1"/>
    <col min="26" max="26" width="13.88671875" style="81" customWidth="1"/>
    <col min="27" max="27" width="14.88671875" style="81" bestFit="1" customWidth="1"/>
    <col min="28" max="28" width="13.5546875" style="81" bestFit="1" customWidth="1"/>
    <col min="29" max="29" width="13" style="81" customWidth="1"/>
    <col min="30" max="30" width="12.77734375" style="81" hidden="1" customWidth="1"/>
    <col min="31" max="31" width="15.33203125" style="81" customWidth="1"/>
    <col min="32" max="32" width="14.21875" style="81" customWidth="1"/>
    <col min="33" max="33" width="8.109375" style="81" hidden="1" customWidth="1"/>
    <col min="34" max="34" width="8.88671875" style="81" hidden="1" customWidth="1"/>
    <col min="35" max="35" width="13.21875" style="140" customWidth="1"/>
    <col min="36" max="36" width="15.44140625" style="81" bestFit="1" customWidth="1"/>
    <col min="37" max="37" width="16.21875" style="81" bestFit="1" customWidth="1"/>
    <col min="38" max="38" width="28.88671875" style="81" customWidth="1"/>
    <col min="39" max="39" width="24.44140625" style="81" bestFit="1" customWidth="1"/>
    <col min="40" max="40" width="14.6640625" style="81" bestFit="1" customWidth="1"/>
    <col min="41" max="16384" width="14.44140625" style="81"/>
  </cols>
  <sheetData>
    <row r="1" spans="1:39">
      <c r="A1" s="62" t="s">
        <v>260</v>
      </c>
      <c r="B1" s="46"/>
      <c r="C1" s="63"/>
      <c r="D1" s="38"/>
      <c r="E1" s="38"/>
      <c r="F1" s="46"/>
      <c r="G1" s="46"/>
      <c r="H1" s="46"/>
      <c r="I1" s="46"/>
      <c r="J1" s="46"/>
      <c r="K1" s="64"/>
      <c r="L1" s="64"/>
      <c r="M1" s="46"/>
      <c r="N1" s="38"/>
      <c r="O1" s="38"/>
      <c r="P1" s="38"/>
      <c r="Q1" s="38"/>
      <c r="R1" s="46"/>
      <c r="S1" s="46"/>
      <c r="T1" s="46"/>
      <c r="U1" s="46"/>
      <c r="V1" s="46"/>
      <c r="W1" s="65"/>
      <c r="X1" s="64"/>
      <c r="Y1" s="46"/>
      <c r="Z1" s="46"/>
      <c r="AA1" s="46"/>
      <c r="AB1" s="46"/>
      <c r="AC1" s="66"/>
      <c r="AD1" s="66"/>
      <c r="AE1" s="46"/>
      <c r="AF1" s="46"/>
      <c r="AG1" s="46"/>
      <c r="AH1" s="46"/>
      <c r="AI1" s="65"/>
      <c r="AJ1" s="46"/>
      <c r="AK1" s="46"/>
      <c r="AL1" s="67"/>
      <c r="AM1" s="67"/>
    </row>
    <row r="2" spans="1:39">
      <c r="A2" s="46" t="s">
        <v>261</v>
      </c>
      <c r="B2" s="46"/>
      <c r="C2" s="63"/>
      <c r="D2" s="38"/>
      <c r="E2" s="38"/>
      <c r="F2" s="46"/>
      <c r="G2" s="46"/>
      <c r="H2" s="46"/>
      <c r="I2" s="46"/>
      <c r="J2" s="46"/>
      <c r="K2" s="64"/>
      <c r="L2" s="64"/>
      <c r="M2" s="46"/>
      <c r="N2" s="38"/>
      <c r="O2" s="38"/>
      <c r="P2" s="38"/>
      <c r="Q2" s="38"/>
      <c r="R2" s="46"/>
      <c r="S2" s="46"/>
      <c r="T2" s="46"/>
      <c r="U2" s="46"/>
      <c r="V2" s="46"/>
      <c r="W2" s="68"/>
      <c r="X2" s="69"/>
      <c r="Y2" s="46"/>
      <c r="Z2" s="70"/>
      <c r="AA2" s="70"/>
      <c r="AB2" s="70"/>
      <c r="AC2" s="71"/>
      <c r="AD2" s="71"/>
      <c r="AE2" s="70"/>
      <c r="AF2" s="46"/>
      <c r="AG2" s="46"/>
      <c r="AH2" s="46"/>
      <c r="AI2" s="65"/>
      <c r="AJ2" s="46"/>
      <c r="AK2" s="46"/>
      <c r="AL2" s="67"/>
      <c r="AM2" s="67"/>
    </row>
    <row r="3" spans="1:39">
      <c r="A3" s="46"/>
      <c r="B3" s="72"/>
      <c r="C3" s="73" t="s">
        <v>262</v>
      </c>
      <c r="D3" s="66"/>
      <c r="E3" s="66"/>
      <c r="F3" s="62" t="s">
        <v>263</v>
      </c>
      <c r="T3" s="46"/>
      <c r="U3" s="46"/>
      <c r="V3" s="46"/>
      <c r="W3" s="68"/>
      <c r="X3" s="69"/>
      <c r="Y3" s="46"/>
      <c r="Z3" s="75"/>
      <c r="AA3" s="75"/>
      <c r="AB3" s="75"/>
      <c r="AC3" s="76"/>
      <c r="AD3" s="75"/>
      <c r="AE3" s="75"/>
      <c r="AF3" s="77"/>
      <c r="AG3" s="72"/>
      <c r="AH3" s="72"/>
      <c r="AI3" s="78"/>
      <c r="AJ3" s="72"/>
      <c r="AK3" s="79"/>
      <c r="AL3" s="79"/>
      <c r="AM3" s="67"/>
    </row>
    <row r="4" spans="1:39">
      <c r="A4" s="46"/>
      <c r="B4" s="46"/>
      <c r="C4" s="63"/>
      <c r="D4" s="38"/>
      <c r="E4" s="80"/>
      <c r="G4" s="313">
        <v>46174</v>
      </c>
      <c r="H4" s="314"/>
      <c r="I4" s="5" t="s">
        <v>264</v>
      </c>
      <c r="J4" s="315">
        <f>EOMONTH(G4,0)</f>
        <v>46203</v>
      </c>
      <c r="K4" s="315"/>
      <c r="M4" s="46"/>
      <c r="N4" s="46"/>
      <c r="O4" s="46"/>
      <c r="P4" s="46"/>
      <c r="Q4" s="46"/>
      <c r="R4" s="46"/>
      <c r="S4" s="82"/>
      <c r="T4" s="46"/>
      <c r="U4" s="46"/>
      <c r="V4" s="46"/>
      <c r="W4" s="68"/>
      <c r="X4" s="69"/>
      <c r="Y4" s="46"/>
      <c r="Z4" s="70"/>
      <c r="AA4" s="70"/>
      <c r="AB4" s="70"/>
      <c r="AC4" s="70"/>
      <c r="AD4" s="70"/>
      <c r="AE4" s="70"/>
      <c r="AF4" s="46"/>
      <c r="AG4" s="46"/>
      <c r="AH4" s="46"/>
      <c r="AI4" s="65"/>
      <c r="AJ4" s="46"/>
      <c r="AK4" s="46"/>
      <c r="AL4" s="67"/>
      <c r="AM4" s="67"/>
    </row>
    <row r="5" spans="1:39">
      <c r="A5" s="83">
        <v>1</v>
      </c>
      <c r="B5" s="83">
        <v>2</v>
      </c>
      <c r="C5" s="84">
        <v>3</v>
      </c>
      <c r="D5" s="83">
        <v>4</v>
      </c>
      <c r="E5" s="83">
        <v>5</v>
      </c>
      <c r="F5" s="83">
        <v>6</v>
      </c>
      <c r="G5" s="83">
        <v>8</v>
      </c>
      <c r="H5" s="83">
        <v>9</v>
      </c>
      <c r="I5" s="83">
        <v>10</v>
      </c>
      <c r="J5" s="83">
        <v>11</v>
      </c>
      <c r="K5" s="85">
        <v>12</v>
      </c>
      <c r="L5" s="85">
        <v>13</v>
      </c>
      <c r="M5" s="83">
        <v>14</v>
      </c>
      <c r="N5" s="83">
        <v>15</v>
      </c>
      <c r="O5" s="83">
        <v>16</v>
      </c>
      <c r="P5" s="83">
        <v>17</v>
      </c>
      <c r="Q5" s="83">
        <v>18</v>
      </c>
      <c r="R5" s="83">
        <v>19</v>
      </c>
      <c r="S5" s="83">
        <v>20</v>
      </c>
      <c r="T5" s="83">
        <v>21</v>
      </c>
      <c r="U5" s="83">
        <v>22</v>
      </c>
      <c r="V5" s="83">
        <v>23</v>
      </c>
      <c r="W5" s="83">
        <v>24</v>
      </c>
      <c r="X5" s="85">
        <v>25</v>
      </c>
      <c r="Y5" s="83">
        <v>26</v>
      </c>
      <c r="Z5" s="83">
        <v>27</v>
      </c>
      <c r="AA5" s="83">
        <v>28</v>
      </c>
      <c r="AB5" s="83">
        <v>29</v>
      </c>
      <c r="AC5" s="83">
        <v>30</v>
      </c>
      <c r="AD5" s="83">
        <v>31</v>
      </c>
      <c r="AE5" s="83">
        <v>32</v>
      </c>
      <c r="AF5" s="83">
        <v>33</v>
      </c>
      <c r="AG5" s="83">
        <v>34</v>
      </c>
      <c r="AH5" s="83">
        <v>35</v>
      </c>
      <c r="AI5" s="83">
        <v>36</v>
      </c>
      <c r="AJ5" s="83">
        <v>37</v>
      </c>
      <c r="AK5" s="83">
        <v>38</v>
      </c>
      <c r="AL5" s="83">
        <v>39</v>
      </c>
      <c r="AM5" s="83">
        <v>40</v>
      </c>
    </row>
    <row r="6" spans="1:39" s="96" customFormat="1" ht="55.2">
      <c r="A6" s="86" t="s">
        <v>7</v>
      </c>
      <c r="B6" s="86" t="s">
        <v>265</v>
      </c>
      <c r="C6" s="87" t="s">
        <v>266</v>
      </c>
      <c r="D6" s="86" t="s">
        <v>267</v>
      </c>
      <c r="E6" s="86" t="s">
        <v>268</v>
      </c>
      <c r="F6" s="86" t="s">
        <v>269</v>
      </c>
      <c r="G6" s="88" t="s">
        <v>270</v>
      </c>
      <c r="H6" s="89" t="s">
        <v>271</v>
      </c>
      <c r="I6" s="89" t="s">
        <v>272</v>
      </c>
      <c r="J6" s="90" t="s">
        <v>273</v>
      </c>
      <c r="K6" s="91" t="s">
        <v>274</v>
      </c>
      <c r="L6" s="91" t="s">
        <v>275</v>
      </c>
      <c r="M6" s="88" t="s">
        <v>276</v>
      </c>
      <c r="N6" s="88" t="s">
        <v>277</v>
      </c>
      <c r="O6" s="88" t="s">
        <v>278</v>
      </c>
      <c r="P6" s="88" t="s">
        <v>279</v>
      </c>
      <c r="Q6" s="86" t="s">
        <v>280</v>
      </c>
      <c r="R6" s="86" t="s">
        <v>281</v>
      </c>
      <c r="S6" s="86" t="s">
        <v>282</v>
      </c>
      <c r="T6" s="92" t="s">
        <v>283</v>
      </c>
      <c r="U6" s="92" t="s">
        <v>284</v>
      </c>
      <c r="V6" s="86" t="s">
        <v>285</v>
      </c>
      <c r="W6" s="93" t="s">
        <v>286</v>
      </c>
      <c r="X6" s="91" t="s">
        <v>287</v>
      </c>
      <c r="Y6" s="86" t="s">
        <v>288</v>
      </c>
      <c r="Z6" s="86" t="s">
        <v>289</v>
      </c>
      <c r="AA6" s="86" t="s">
        <v>290</v>
      </c>
      <c r="AB6" s="86" t="s">
        <v>291</v>
      </c>
      <c r="AC6" s="86" t="s">
        <v>292</v>
      </c>
      <c r="AD6" s="86" t="s">
        <v>293</v>
      </c>
      <c r="AE6" s="86" t="s">
        <v>294</v>
      </c>
      <c r="AF6" s="86" t="s">
        <v>295</v>
      </c>
      <c r="AG6" s="86" t="s">
        <v>296</v>
      </c>
      <c r="AH6" s="86" t="s">
        <v>297</v>
      </c>
      <c r="AI6" s="93" t="s">
        <v>298</v>
      </c>
      <c r="AJ6" s="86" t="s">
        <v>299</v>
      </c>
      <c r="AK6" s="86" t="s">
        <v>300</v>
      </c>
      <c r="AL6" s="94" t="s">
        <v>301</v>
      </c>
      <c r="AM6" s="95" t="s">
        <v>22</v>
      </c>
    </row>
    <row r="7" spans="1:39" ht="20.399999999999999" customHeight="1">
      <c r="A7" s="97">
        <f t="shared" ref="A7:A58" si="0">ROW()-6</f>
        <v>1</v>
      </c>
      <c r="B7" s="98">
        <v>8301</v>
      </c>
      <c r="C7" s="99" t="s">
        <v>302</v>
      </c>
      <c r="D7" s="100" t="s">
        <v>303</v>
      </c>
      <c r="E7" s="101">
        <v>46100</v>
      </c>
      <c r="F7" s="102">
        <v>26</v>
      </c>
      <c r="G7" s="103">
        <v>24.5</v>
      </c>
      <c r="H7" s="103">
        <f>IF(G7&gt;=F7,F7,G7)</f>
        <v>24.5</v>
      </c>
      <c r="I7" s="103">
        <f t="shared" ref="I7:I58" si="1">G7-H7</f>
        <v>0</v>
      </c>
      <c r="J7" s="103">
        <v>0</v>
      </c>
      <c r="K7" s="104">
        <v>0</v>
      </c>
      <c r="L7" s="104">
        <v>0</v>
      </c>
      <c r="M7" s="103">
        <v>2</v>
      </c>
      <c r="N7" s="103">
        <v>0</v>
      </c>
      <c r="O7" s="103">
        <v>0</v>
      </c>
      <c r="P7" s="103">
        <v>0</v>
      </c>
      <c r="Q7" s="105"/>
      <c r="R7" s="106">
        <f>IF(D7="CT",G7*$R$61,G7*$R$62)</f>
        <v>5003653.846153846</v>
      </c>
      <c r="S7" s="106">
        <f>IF(D7="CT",I7*$S$61,I7*$S$62)</f>
        <v>0</v>
      </c>
      <c r="T7" s="106">
        <f>IF(D7="CT",K7*$T$61,K7*$T$62)</f>
        <v>0</v>
      </c>
      <c r="U7" s="106">
        <f>IF(D7="CT",L7*$U$61,0)</f>
        <v>0</v>
      </c>
      <c r="V7" s="106">
        <f>IF(D7="CT",M7*$V$61,M7*$V$62)</f>
        <v>122538.46153846153</v>
      </c>
      <c r="W7" s="102">
        <f t="shared" ref="W7:W58" si="2">J7*$W$61</f>
        <v>0</v>
      </c>
      <c r="X7" s="107">
        <v>0</v>
      </c>
      <c r="Y7" s="106">
        <f t="shared" ref="Y7:Y58" si="3">O7*$Y$61</f>
        <v>0</v>
      </c>
      <c r="Z7" s="106">
        <f t="shared" ref="Z7:Z32" si="4">IF((G7)&gt;=26,$Z$61,0)</f>
        <v>0</v>
      </c>
      <c r="AA7" s="106">
        <f>IF(G7&gt;25,(G7-25)*16000,0)</f>
        <v>0</v>
      </c>
      <c r="AB7" s="106">
        <f t="shared" ref="AB7:AB58" si="5">MIN(G7,26)*$AB$61</f>
        <v>735000</v>
      </c>
      <c r="AC7" s="106">
        <f t="shared" ref="AC7:AC58" si="6">P7*50000</f>
        <v>0</v>
      </c>
      <c r="AD7" s="106">
        <v>0</v>
      </c>
      <c r="AE7" s="108">
        <f t="shared" ref="AE7:AE47" si="7">SUM(Q7:AD7)</f>
        <v>5861192.307692308</v>
      </c>
      <c r="AF7" s="109">
        <v>0</v>
      </c>
      <c r="AG7" s="106">
        <v>0</v>
      </c>
      <c r="AH7" s="106">
        <v>0</v>
      </c>
      <c r="AI7" s="102">
        <v>1500000</v>
      </c>
      <c r="AJ7" s="106">
        <f t="shared" ref="AJ7:AJ58" si="8">SUM(AF7:AI7)</f>
        <v>1500000</v>
      </c>
      <c r="AK7" s="108">
        <f>ROUND(AE7-AJ7,0)</f>
        <v>4361192</v>
      </c>
      <c r="AL7" s="110"/>
      <c r="AM7" s="111"/>
    </row>
    <row r="8" spans="1:39" ht="20.399999999999999" customHeight="1">
      <c r="A8" s="97">
        <f t="shared" si="0"/>
        <v>2</v>
      </c>
      <c r="B8" s="98">
        <v>8302</v>
      </c>
      <c r="C8" s="112" t="s">
        <v>31</v>
      </c>
      <c r="D8" s="100" t="s">
        <v>303</v>
      </c>
      <c r="E8" s="101">
        <v>46100</v>
      </c>
      <c r="F8" s="102">
        <v>26</v>
      </c>
      <c r="G8" s="103">
        <v>25</v>
      </c>
      <c r="H8" s="103">
        <f>IF(G8&gt;=F8,F8,G8)</f>
        <v>25</v>
      </c>
      <c r="I8" s="103">
        <f t="shared" si="1"/>
        <v>0</v>
      </c>
      <c r="J8" s="103">
        <v>0</v>
      </c>
      <c r="K8" s="104">
        <v>0</v>
      </c>
      <c r="L8" s="104">
        <v>0</v>
      </c>
      <c r="M8" s="103">
        <v>3</v>
      </c>
      <c r="N8" s="103">
        <v>0</v>
      </c>
      <c r="O8" s="103">
        <v>0</v>
      </c>
      <c r="P8" s="103">
        <v>0</v>
      </c>
      <c r="Q8" s="105"/>
      <c r="R8" s="106">
        <f>IF(D8="CT",G8*$R$61,G8*$R$62)</f>
        <v>5105769.2307692301</v>
      </c>
      <c r="S8" s="106">
        <f>IF(D8="CT",I8*$S$61,I8*$S$62)</f>
        <v>0</v>
      </c>
      <c r="T8" s="106">
        <f>IF(D8="CT",K8*$T$61,K8*$T$62)</f>
        <v>0</v>
      </c>
      <c r="U8" s="106">
        <f>IF(D8="CT",L8*$U$61,0)</f>
        <v>0</v>
      </c>
      <c r="V8" s="106">
        <f>IF(D8="CT",M8*$V$61,M8*$V$62)</f>
        <v>183807.69230769231</v>
      </c>
      <c r="W8" s="102">
        <f t="shared" si="2"/>
        <v>0</v>
      </c>
      <c r="X8" s="107">
        <v>0</v>
      </c>
      <c r="Y8" s="106">
        <f t="shared" si="3"/>
        <v>0</v>
      </c>
      <c r="Z8" s="106">
        <f t="shared" si="4"/>
        <v>0</v>
      </c>
      <c r="AA8" s="106">
        <f t="shared" ref="AA8:AA47" si="9">IF(G8&gt;25,(G8-25)*16000,0)</f>
        <v>0</v>
      </c>
      <c r="AB8" s="106">
        <f t="shared" si="5"/>
        <v>750000</v>
      </c>
      <c r="AC8" s="106">
        <f t="shared" si="6"/>
        <v>0</v>
      </c>
      <c r="AD8" s="106">
        <v>0</v>
      </c>
      <c r="AE8" s="108">
        <f t="shared" si="7"/>
        <v>6039576.9230769221</v>
      </c>
      <c r="AF8" s="109">
        <v>0</v>
      </c>
      <c r="AG8" s="106">
        <v>0</v>
      </c>
      <c r="AH8" s="106">
        <v>0</v>
      </c>
      <c r="AI8" s="159">
        <v>750000</v>
      </c>
      <c r="AJ8" s="106">
        <f t="shared" si="8"/>
        <v>750000</v>
      </c>
      <c r="AK8" s="108">
        <f t="shared" ref="AK8:AK58" si="10">ROUND(AE8-AJ8,0)</f>
        <v>5289577</v>
      </c>
      <c r="AL8" s="110"/>
      <c r="AM8" s="111"/>
    </row>
    <row r="9" spans="1:39" ht="20.399999999999999" customHeight="1">
      <c r="A9" s="97">
        <f t="shared" si="0"/>
        <v>3</v>
      </c>
      <c r="B9" s="98">
        <v>8303</v>
      </c>
      <c r="C9" s="99" t="s">
        <v>304</v>
      </c>
      <c r="D9" s="100" t="s">
        <v>303</v>
      </c>
      <c r="E9" s="101">
        <v>46100</v>
      </c>
      <c r="F9" s="102">
        <v>26</v>
      </c>
      <c r="G9" s="103">
        <v>9.5</v>
      </c>
      <c r="H9" s="103">
        <f>IF(G9&gt;=F9,F9,G9)</f>
        <v>9.5</v>
      </c>
      <c r="I9" s="103">
        <f t="shared" si="1"/>
        <v>0</v>
      </c>
      <c r="J9" s="103">
        <v>0</v>
      </c>
      <c r="K9" s="104">
        <v>0</v>
      </c>
      <c r="L9" s="104">
        <v>0</v>
      </c>
      <c r="M9" s="103">
        <v>0</v>
      </c>
      <c r="N9" s="103">
        <v>0</v>
      </c>
      <c r="O9" s="103">
        <v>0</v>
      </c>
      <c r="P9" s="103">
        <v>0</v>
      </c>
      <c r="Q9" s="105"/>
      <c r="R9" s="106">
        <f>IF(D9="CT",G9*$R$61,G9*$R$62)</f>
        <v>1940192.3076923075</v>
      </c>
      <c r="S9" s="106">
        <f>IF(D9="CT",I9*$S$61,I9*$S$62)</f>
        <v>0</v>
      </c>
      <c r="T9" s="106">
        <f>IF(D9="CT",K9*$T$61,K9*$T$62)</f>
        <v>0</v>
      </c>
      <c r="U9" s="106">
        <f>IF(D9="CT",L9*$U$61,0)</f>
        <v>0</v>
      </c>
      <c r="V9" s="106">
        <f>IF(D9="CT",M9*$V$61,M9*$V$62)</f>
        <v>0</v>
      </c>
      <c r="W9" s="102">
        <f t="shared" si="2"/>
        <v>0</v>
      </c>
      <c r="X9" s="107">
        <v>0</v>
      </c>
      <c r="Y9" s="106">
        <f t="shared" si="3"/>
        <v>0</v>
      </c>
      <c r="Z9" s="106">
        <f t="shared" si="4"/>
        <v>0</v>
      </c>
      <c r="AA9" s="106">
        <f t="shared" si="9"/>
        <v>0</v>
      </c>
      <c r="AB9" s="106">
        <f t="shared" si="5"/>
        <v>285000</v>
      </c>
      <c r="AC9" s="106">
        <f t="shared" si="6"/>
        <v>0</v>
      </c>
      <c r="AD9" s="106">
        <v>0</v>
      </c>
      <c r="AE9" s="108">
        <f t="shared" si="7"/>
        <v>2225192.3076923075</v>
      </c>
      <c r="AF9" s="109">
        <v>0</v>
      </c>
      <c r="AG9" s="106">
        <v>0</v>
      </c>
      <c r="AH9" s="106">
        <v>0</v>
      </c>
      <c r="AI9" s="102">
        <v>1500000</v>
      </c>
      <c r="AJ9" s="106">
        <f t="shared" si="8"/>
        <v>1500000</v>
      </c>
      <c r="AK9" s="108">
        <f t="shared" si="10"/>
        <v>725192</v>
      </c>
      <c r="AL9" s="110"/>
      <c r="AM9" s="111"/>
    </row>
    <row r="10" spans="1:39" ht="20.399999999999999" customHeight="1">
      <c r="A10" s="97">
        <f t="shared" si="0"/>
        <v>4</v>
      </c>
      <c r="B10" s="98">
        <v>8306</v>
      </c>
      <c r="C10" s="99" t="s">
        <v>245</v>
      </c>
      <c r="D10" s="100" t="s">
        <v>303</v>
      </c>
      <c r="E10" s="101">
        <v>46113</v>
      </c>
      <c r="F10" s="102">
        <v>26</v>
      </c>
      <c r="G10" s="103">
        <v>26.5</v>
      </c>
      <c r="H10" s="103">
        <f>IF(G10&gt;=F10,F10,G10)</f>
        <v>26</v>
      </c>
      <c r="I10" s="103">
        <f t="shared" si="1"/>
        <v>0.5</v>
      </c>
      <c r="J10" s="103">
        <v>0</v>
      </c>
      <c r="K10" s="104">
        <v>0</v>
      </c>
      <c r="L10" s="104">
        <v>0</v>
      </c>
      <c r="M10" s="103">
        <v>2</v>
      </c>
      <c r="N10" s="103">
        <v>0</v>
      </c>
      <c r="O10" s="103">
        <v>0</v>
      </c>
      <c r="P10" s="160">
        <v>2</v>
      </c>
      <c r="Q10" s="105"/>
      <c r="R10" s="106">
        <f>IF(D10="CT",G10*$R$61,G10*$R$62)</f>
        <v>5412115.384615384</v>
      </c>
      <c r="S10" s="106">
        <f>IF(D10="CT",I10*$S$61,I10*$S$62)</f>
        <v>51057.692307692305</v>
      </c>
      <c r="T10" s="106">
        <f>IF(D10="CT",K10*$T$61,K10*$T$62)</f>
        <v>0</v>
      </c>
      <c r="U10" s="106">
        <f>IF(D10="CT",L10*$U$61,0)</f>
        <v>0</v>
      </c>
      <c r="V10" s="106">
        <f>IF(D10="CT",M10*$V$61,M10*$V$62)</f>
        <v>122538.46153846153</v>
      </c>
      <c r="W10" s="102">
        <f t="shared" si="2"/>
        <v>0</v>
      </c>
      <c r="X10" s="107">
        <v>0</v>
      </c>
      <c r="Y10" s="106">
        <f t="shared" si="3"/>
        <v>0</v>
      </c>
      <c r="Z10" s="106">
        <f t="shared" si="4"/>
        <v>200000</v>
      </c>
      <c r="AA10" s="106">
        <f t="shared" si="9"/>
        <v>24000</v>
      </c>
      <c r="AB10" s="106">
        <f t="shared" si="5"/>
        <v>780000</v>
      </c>
      <c r="AC10" s="106">
        <f t="shared" si="6"/>
        <v>100000</v>
      </c>
      <c r="AD10" s="106">
        <v>0</v>
      </c>
      <c r="AE10" s="108">
        <f t="shared" si="7"/>
        <v>6689711.538461538</v>
      </c>
      <c r="AF10" s="109">
        <v>0</v>
      </c>
      <c r="AG10" s="106">
        <v>0</v>
      </c>
      <c r="AH10" s="106">
        <v>0</v>
      </c>
      <c r="AI10" s="102"/>
      <c r="AJ10" s="106">
        <f t="shared" si="8"/>
        <v>0</v>
      </c>
      <c r="AK10" s="108">
        <f t="shared" si="10"/>
        <v>6689712</v>
      </c>
      <c r="AL10" s="110"/>
      <c r="AM10" s="111"/>
    </row>
    <row r="11" spans="1:39" ht="20.399999999999999" customHeight="1">
      <c r="A11" s="97">
        <f t="shared" si="0"/>
        <v>5</v>
      </c>
      <c r="B11" s="98">
        <v>8307</v>
      </c>
      <c r="C11" s="99" t="s">
        <v>246</v>
      </c>
      <c r="D11" s="100" t="s">
        <v>303</v>
      </c>
      <c r="E11" s="101">
        <v>46113</v>
      </c>
      <c r="F11" s="102">
        <v>26</v>
      </c>
      <c r="G11" s="103">
        <v>20.625</v>
      </c>
      <c r="H11" s="103">
        <f>IF(G11&gt;=F11,F11,G11)</f>
        <v>20.625</v>
      </c>
      <c r="I11" s="103">
        <f t="shared" si="1"/>
        <v>0</v>
      </c>
      <c r="J11" s="103">
        <v>0</v>
      </c>
      <c r="K11" s="104">
        <v>0</v>
      </c>
      <c r="L11" s="104">
        <v>0</v>
      </c>
      <c r="M11" s="103">
        <v>5</v>
      </c>
      <c r="N11" s="103">
        <v>0</v>
      </c>
      <c r="O11" s="103">
        <v>0</v>
      </c>
      <c r="P11" s="103">
        <v>0</v>
      </c>
      <c r="Q11" s="105"/>
      <c r="R11" s="106">
        <f>IF(D11="CT",G11*$R$61,G11*$R$62)</f>
        <v>4212259.615384615</v>
      </c>
      <c r="S11" s="106">
        <f>IF(D11="CT",I11*$S$61,I11*$S$62)</f>
        <v>0</v>
      </c>
      <c r="T11" s="106">
        <f>IF(D11="CT",K11*$T$61,K11*$T$62)</f>
        <v>0</v>
      </c>
      <c r="U11" s="106">
        <f>IF(D11="CT",L11*$U$61,0)</f>
        <v>0</v>
      </c>
      <c r="V11" s="106">
        <f>IF(D11="CT",M11*$V$61,M11*$V$62)</f>
        <v>306346.15384615381</v>
      </c>
      <c r="W11" s="102">
        <f t="shared" si="2"/>
        <v>0</v>
      </c>
      <c r="X11" s="107">
        <v>0</v>
      </c>
      <c r="Y11" s="106">
        <f t="shared" si="3"/>
        <v>0</v>
      </c>
      <c r="Z11" s="106">
        <f t="shared" si="4"/>
        <v>0</v>
      </c>
      <c r="AA11" s="106">
        <f t="shared" si="9"/>
        <v>0</v>
      </c>
      <c r="AB11" s="106">
        <f t="shared" si="5"/>
        <v>618750</v>
      </c>
      <c r="AC11" s="161">
        <v>0</v>
      </c>
      <c r="AD11" s="106">
        <v>0</v>
      </c>
      <c r="AE11" s="108">
        <f t="shared" si="7"/>
        <v>5137355.769230769</v>
      </c>
      <c r="AF11" s="109">
        <v>0</v>
      </c>
      <c r="AG11" s="106">
        <v>0</v>
      </c>
      <c r="AH11" s="106">
        <v>0</v>
      </c>
      <c r="AI11" s="102"/>
      <c r="AJ11" s="106">
        <f t="shared" si="8"/>
        <v>0</v>
      </c>
      <c r="AK11" s="108">
        <f t="shared" si="10"/>
        <v>5137356</v>
      </c>
      <c r="AL11" s="110"/>
      <c r="AM11" s="111"/>
    </row>
    <row r="12" spans="1:39" ht="20.399999999999999" customHeight="1">
      <c r="A12" s="97">
        <f t="shared" si="0"/>
        <v>6</v>
      </c>
      <c r="B12" s="98">
        <v>8309</v>
      </c>
      <c r="C12" s="99" t="s">
        <v>247</v>
      </c>
      <c r="D12" s="100" t="s">
        <v>303</v>
      </c>
      <c r="E12" s="101">
        <v>46113</v>
      </c>
      <c r="F12" s="102">
        <v>26</v>
      </c>
      <c r="G12" s="103">
        <v>27.5</v>
      </c>
      <c r="H12" s="103">
        <f>IF(G12&gt;=F12,F12,G12)</f>
        <v>26</v>
      </c>
      <c r="I12" s="103">
        <f t="shared" si="1"/>
        <v>1.5</v>
      </c>
      <c r="J12" s="103">
        <v>0</v>
      </c>
      <c r="K12" s="104">
        <v>0</v>
      </c>
      <c r="L12" s="104">
        <v>0</v>
      </c>
      <c r="M12" s="103">
        <v>2</v>
      </c>
      <c r="N12" s="103">
        <v>0</v>
      </c>
      <c r="O12" s="103">
        <v>0</v>
      </c>
      <c r="P12" s="103">
        <v>0</v>
      </c>
      <c r="Q12" s="105"/>
      <c r="R12" s="106">
        <f>IF(D12="CT",G12*$R$61,G12*$R$62)</f>
        <v>5616346.153846154</v>
      </c>
      <c r="S12" s="106">
        <f>IF(D12="CT",I12*$S$61,I12*$S$62)</f>
        <v>153173.07692307691</v>
      </c>
      <c r="T12" s="106">
        <f>IF(D12="CT",K12*$T$61,K12*$T$62)</f>
        <v>0</v>
      </c>
      <c r="U12" s="106">
        <f>IF(D12="CT",L12*$U$61,0)</f>
        <v>0</v>
      </c>
      <c r="V12" s="106">
        <f>IF(D12="CT",M12*$V$61,M12*$V$62)</f>
        <v>122538.46153846153</v>
      </c>
      <c r="W12" s="102">
        <f t="shared" si="2"/>
        <v>0</v>
      </c>
      <c r="X12" s="107">
        <v>0</v>
      </c>
      <c r="Y12" s="106">
        <f t="shared" si="3"/>
        <v>0</v>
      </c>
      <c r="Z12" s="106">
        <f t="shared" si="4"/>
        <v>200000</v>
      </c>
      <c r="AA12" s="106">
        <f t="shared" si="9"/>
        <v>40000</v>
      </c>
      <c r="AB12" s="106">
        <f t="shared" si="5"/>
        <v>780000</v>
      </c>
      <c r="AC12" s="106">
        <f t="shared" si="6"/>
        <v>0</v>
      </c>
      <c r="AD12" s="106">
        <v>0</v>
      </c>
      <c r="AE12" s="108">
        <f t="shared" si="7"/>
        <v>6912057.692307693</v>
      </c>
      <c r="AF12" s="109">
        <v>0</v>
      </c>
      <c r="AG12" s="106">
        <v>0</v>
      </c>
      <c r="AH12" s="106">
        <v>0</v>
      </c>
      <c r="AI12" s="102"/>
      <c r="AJ12" s="106">
        <f t="shared" si="8"/>
        <v>0</v>
      </c>
      <c r="AK12" s="108">
        <f t="shared" si="10"/>
        <v>6912058</v>
      </c>
      <c r="AL12" s="110"/>
      <c r="AM12" s="111"/>
    </row>
    <row r="13" spans="1:39" ht="20.399999999999999" customHeight="1">
      <c r="A13" s="97">
        <f t="shared" si="0"/>
        <v>7</v>
      </c>
      <c r="B13" s="98">
        <v>8311</v>
      </c>
      <c r="C13" s="99" t="s">
        <v>305</v>
      </c>
      <c r="D13" s="100" t="s">
        <v>303</v>
      </c>
      <c r="E13" s="101">
        <v>46113</v>
      </c>
      <c r="F13" s="102">
        <v>26</v>
      </c>
      <c r="G13" s="103">
        <v>24.5</v>
      </c>
      <c r="H13" s="103">
        <f>IF(G13&gt;=F13,F13,G13)</f>
        <v>24.5</v>
      </c>
      <c r="I13" s="103">
        <f t="shared" si="1"/>
        <v>0</v>
      </c>
      <c r="J13" s="103">
        <v>0</v>
      </c>
      <c r="K13" s="104">
        <v>0</v>
      </c>
      <c r="L13" s="104">
        <v>0</v>
      </c>
      <c r="M13" s="103">
        <v>0</v>
      </c>
      <c r="N13" s="103">
        <v>0</v>
      </c>
      <c r="O13" s="103">
        <v>0</v>
      </c>
      <c r="P13" s="103">
        <v>0</v>
      </c>
      <c r="Q13" s="105"/>
      <c r="R13" s="106">
        <f>IF(D13="CT",G13*$R$61,G13*$R$62)</f>
        <v>5003653.846153846</v>
      </c>
      <c r="S13" s="106">
        <f>IF(D13="CT",I13*$S$61,I13*$S$62)</f>
        <v>0</v>
      </c>
      <c r="T13" s="106">
        <f>IF(D13="CT",K13*$T$61,K13*$T$62)</f>
        <v>0</v>
      </c>
      <c r="U13" s="106">
        <f>IF(D13="CT",L13*$U$61,0)</f>
        <v>0</v>
      </c>
      <c r="V13" s="106">
        <f>IF(D13="CT",M13*$V$61,M13*$V$62)</f>
        <v>0</v>
      </c>
      <c r="W13" s="102">
        <f t="shared" si="2"/>
        <v>0</v>
      </c>
      <c r="X13" s="107">
        <v>0</v>
      </c>
      <c r="Y13" s="106">
        <f t="shared" si="3"/>
        <v>0</v>
      </c>
      <c r="Z13" s="106">
        <f t="shared" si="4"/>
        <v>0</v>
      </c>
      <c r="AA13" s="106">
        <f t="shared" si="9"/>
        <v>0</v>
      </c>
      <c r="AB13" s="106">
        <f t="shared" si="5"/>
        <v>735000</v>
      </c>
      <c r="AC13" s="106">
        <f t="shared" si="6"/>
        <v>0</v>
      </c>
      <c r="AD13" s="106">
        <v>0</v>
      </c>
      <c r="AE13" s="108">
        <f t="shared" si="7"/>
        <v>5738653.846153846</v>
      </c>
      <c r="AF13" s="109">
        <v>0</v>
      </c>
      <c r="AG13" s="106">
        <v>0</v>
      </c>
      <c r="AH13" s="106">
        <v>0</v>
      </c>
      <c r="AI13" s="102">
        <v>1500000</v>
      </c>
      <c r="AJ13" s="106">
        <f t="shared" si="8"/>
        <v>1500000</v>
      </c>
      <c r="AK13" s="108">
        <f t="shared" si="10"/>
        <v>4238654</v>
      </c>
      <c r="AL13" s="110"/>
      <c r="AM13" s="111"/>
    </row>
    <row r="14" spans="1:39" ht="20.399999999999999" customHeight="1">
      <c r="A14" s="97">
        <f t="shared" si="0"/>
        <v>8</v>
      </c>
      <c r="B14" s="98">
        <v>8316</v>
      </c>
      <c r="C14" s="99" t="s">
        <v>36</v>
      </c>
      <c r="D14" s="100" t="s">
        <v>306</v>
      </c>
      <c r="E14" s="101">
        <v>46134</v>
      </c>
      <c r="F14" s="102">
        <v>26</v>
      </c>
      <c r="G14" s="103">
        <v>32</v>
      </c>
      <c r="H14" s="103">
        <f>IF(G14&gt;=F14,F14,G14)</f>
        <v>26</v>
      </c>
      <c r="I14" s="103">
        <f t="shared" si="1"/>
        <v>6</v>
      </c>
      <c r="J14" s="103">
        <v>0</v>
      </c>
      <c r="K14" s="104">
        <v>0</v>
      </c>
      <c r="L14" s="104">
        <v>0</v>
      </c>
      <c r="M14" s="103">
        <v>4</v>
      </c>
      <c r="N14" s="103">
        <v>0</v>
      </c>
      <c r="O14" s="103">
        <v>0</v>
      </c>
      <c r="P14" s="103">
        <v>0</v>
      </c>
      <c r="Q14" s="105"/>
      <c r="R14" s="106">
        <f>IF(D14="CT",G14*$R$61,G14*$R$62)</f>
        <v>5555076.923076923</v>
      </c>
      <c r="S14" s="106">
        <f>IF(D14="CT",I14*$S$61,I14*$S$62)</f>
        <v>520788.4615384615</v>
      </c>
      <c r="T14" s="106">
        <f>IF(D14="CT",K14*$T$61,K14*$T$62)</f>
        <v>0</v>
      </c>
      <c r="U14" s="106">
        <f>IF(D14="CT",L14*$U$61,0)</f>
        <v>0</v>
      </c>
      <c r="V14" s="106">
        <f>IF(D14="CT",M14*$V$61,M14*$V$62)</f>
        <v>208315.3846153846</v>
      </c>
      <c r="W14" s="102">
        <f t="shared" si="2"/>
        <v>0</v>
      </c>
      <c r="X14" s="107">
        <v>0</v>
      </c>
      <c r="Y14" s="106">
        <f t="shared" si="3"/>
        <v>0</v>
      </c>
      <c r="Z14" s="106">
        <f t="shared" si="4"/>
        <v>200000</v>
      </c>
      <c r="AA14" s="106">
        <f t="shared" si="9"/>
        <v>112000</v>
      </c>
      <c r="AB14" s="106">
        <f t="shared" si="5"/>
        <v>780000</v>
      </c>
      <c r="AC14" s="106">
        <f t="shared" si="6"/>
        <v>0</v>
      </c>
      <c r="AD14" s="106">
        <v>0</v>
      </c>
      <c r="AE14" s="108">
        <f t="shared" si="7"/>
        <v>7376180.769230769</v>
      </c>
      <c r="AF14" s="109">
        <v>0</v>
      </c>
      <c r="AG14" s="106">
        <v>0</v>
      </c>
      <c r="AH14" s="106">
        <v>0</v>
      </c>
      <c r="AI14" s="102"/>
      <c r="AJ14" s="106">
        <f t="shared" si="8"/>
        <v>0</v>
      </c>
      <c r="AK14" s="108">
        <f t="shared" si="10"/>
        <v>7376181</v>
      </c>
      <c r="AL14" s="110"/>
      <c r="AM14" s="111"/>
    </row>
    <row r="15" spans="1:39" s="74" customFormat="1" ht="20.399999999999999" customHeight="1">
      <c r="A15" s="97">
        <f t="shared" si="0"/>
        <v>9</v>
      </c>
      <c r="B15" s="98">
        <v>8319</v>
      </c>
      <c r="C15" s="99" t="s">
        <v>307</v>
      </c>
      <c r="D15" s="100" t="s">
        <v>306</v>
      </c>
      <c r="E15" s="101">
        <v>46148</v>
      </c>
      <c r="F15" s="102">
        <v>26</v>
      </c>
      <c r="G15" s="103">
        <v>13.5</v>
      </c>
      <c r="H15" s="103">
        <f>IF(G15&gt;=F15,F15,G15)</f>
        <v>13.5</v>
      </c>
      <c r="I15" s="103">
        <f t="shared" si="1"/>
        <v>0</v>
      </c>
      <c r="J15" s="103">
        <v>0</v>
      </c>
      <c r="K15" s="104">
        <v>0</v>
      </c>
      <c r="L15" s="104">
        <v>0</v>
      </c>
      <c r="M15" s="103">
        <v>3</v>
      </c>
      <c r="N15" s="103">
        <v>0</v>
      </c>
      <c r="O15" s="103">
        <v>0</v>
      </c>
      <c r="P15" s="103">
        <v>0</v>
      </c>
      <c r="Q15" s="105"/>
      <c r="R15" s="106">
        <f>IF(D15="CT",G15*$R$61,G15*$R$62)</f>
        <v>2343548.076923077</v>
      </c>
      <c r="S15" s="106">
        <f>IF(D15="CT",I15*$S$61,I15*$S$62)</f>
        <v>0</v>
      </c>
      <c r="T15" s="106">
        <f>IF(D15="CT",K15*$T$61,K15*$T$62)</f>
        <v>0</v>
      </c>
      <c r="U15" s="106">
        <f>IF(D15="CT",L15*$U$61,0)</f>
        <v>0</v>
      </c>
      <c r="V15" s="106">
        <f>IF(D15="CT",M15*$V$61,M15*$V$62)</f>
        <v>156236.53846153844</v>
      </c>
      <c r="W15" s="102">
        <f t="shared" si="2"/>
        <v>0</v>
      </c>
      <c r="X15" s="107">
        <v>0</v>
      </c>
      <c r="Y15" s="106">
        <f t="shared" si="3"/>
        <v>0</v>
      </c>
      <c r="Z15" s="106">
        <f t="shared" si="4"/>
        <v>0</v>
      </c>
      <c r="AA15" s="106">
        <f t="shared" si="9"/>
        <v>0</v>
      </c>
      <c r="AB15" s="106">
        <f t="shared" si="5"/>
        <v>405000</v>
      </c>
      <c r="AC15" s="106">
        <f t="shared" si="6"/>
        <v>0</v>
      </c>
      <c r="AD15" s="106">
        <v>0</v>
      </c>
      <c r="AE15" s="108">
        <f t="shared" si="7"/>
        <v>2904784.6153846155</v>
      </c>
      <c r="AF15" s="109">
        <v>0</v>
      </c>
      <c r="AG15" s="106">
        <v>0</v>
      </c>
      <c r="AH15" s="106">
        <v>0</v>
      </c>
      <c r="AI15" s="102">
        <v>750000</v>
      </c>
      <c r="AJ15" s="106">
        <f t="shared" si="8"/>
        <v>750000</v>
      </c>
      <c r="AK15" s="108">
        <f t="shared" si="10"/>
        <v>2154785</v>
      </c>
      <c r="AL15" s="110"/>
      <c r="AM15" s="111"/>
    </row>
    <row r="16" spans="1:39" ht="20.399999999999999" customHeight="1">
      <c r="A16" s="97">
        <f t="shared" si="0"/>
        <v>10</v>
      </c>
      <c r="B16" s="98">
        <v>8320</v>
      </c>
      <c r="C16" s="99" t="s">
        <v>37</v>
      </c>
      <c r="D16" s="100" t="s">
        <v>306</v>
      </c>
      <c r="E16" s="101">
        <v>46148</v>
      </c>
      <c r="F16" s="102">
        <v>26</v>
      </c>
      <c r="G16" s="103">
        <v>22.5</v>
      </c>
      <c r="H16" s="103">
        <f>IF(G16&gt;=F16,F16,G16)</f>
        <v>22.5</v>
      </c>
      <c r="I16" s="103">
        <f t="shared" si="1"/>
        <v>0</v>
      </c>
      <c r="J16" s="103">
        <v>0</v>
      </c>
      <c r="K16" s="104">
        <v>0</v>
      </c>
      <c r="L16" s="104">
        <v>0</v>
      </c>
      <c r="M16" s="103">
        <v>2</v>
      </c>
      <c r="N16" s="103">
        <v>0</v>
      </c>
      <c r="O16" s="103">
        <v>0</v>
      </c>
      <c r="P16" s="103">
        <v>0</v>
      </c>
      <c r="Q16" s="105">
        <v>750000</v>
      </c>
      <c r="R16" s="106">
        <f>IF(D16="CT",G16*$R$61,G16*$R$62)</f>
        <v>3905913.4615384615</v>
      </c>
      <c r="S16" s="106">
        <f>IF(D16="CT",I16*$S$61,I16*$S$62)</f>
        <v>0</v>
      </c>
      <c r="T16" s="106">
        <f>IF(D16="CT",K16*$T$61,K16*$T$62)</f>
        <v>0</v>
      </c>
      <c r="U16" s="106">
        <f>IF(D16="CT",L16*$U$61,0)</f>
        <v>0</v>
      </c>
      <c r="V16" s="106">
        <f>IF(D16="CT",M16*$V$61,M16*$V$62)</f>
        <v>104157.6923076923</v>
      </c>
      <c r="W16" s="102">
        <f t="shared" si="2"/>
        <v>0</v>
      </c>
      <c r="X16" s="107">
        <v>0</v>
      </c>
      <c r="Y16" s="106">
        <f t="shared" si="3"/>
        <v>0</v>
      </c>
      <c r="Z16" s="106">
        <f t="shared" si="4"/>
        <v>0</v>
      </c>
      <c r="AA16" s="106">
        <f t="shared" si="9"/>
        <v>0</v>
      </c>
      <c r="AB16" s="106">
        <f t="shared" si="5"/>
        <v>675000</v>
      </c>
      <c r="AC16" s="106">
        <f t="shared" si="6"/>
        <v>0</v>
      </c>
      <c r="AD16" s="106">
        <v>0</v>
      </c>
      <c r="AE16" s="108">
        <f t="shared" si="7"/>
        <v>5435071.153846154</v>
      </c>
      <c r="AF16" s="109">
        <v>0</v>
      </c>
      <c r="AG16" s="106">
        <v>0</v>
      </c>
      <c r="AH16" s="106">
        <v>0</v>
      </c>
      <c r="AI16" s="102"/>
      <c r="AJ16" s="106">
        <f t="shared" si="8"/>
        <v>0</v>
      </c>
      <c r="AK16" s="108">
        <f t="shared" si="10"/>
        <v>5435071</v>
      </c>
      <c r="AL16" s="110"/>
      <c r="AM16" s="111"/>
    </row>
    <row r="17" spans="1:39" ht="20.399999999999999" customHeight="1">
      <c r="A17" s="97">
        <f t="shared" si="0"/>
        <v>11</v>
      </c>
      <c r="B17" s="98">
        <v>8321</v>
      </c>
      <c r="C17" s="99" t="s">
        <v>308</v>
      </c>
      <c r="D17" s="100" t="s">
        <v>306</v>
      </c>
      <c r="E17" s="101">
        <v>46148</v>
      </c>
      <c r="F17" s="102">
        <v>26</v>
      </c>
      <c r="G17" s="103">
        <v>21</v>
      </c>
      <c r="H17" s="103">
        <f>IF(G17&gt;=F17,F17,G17)</f>
        <v>21</v>
      </c>
      <c r="I17" s="103">
        <f t="shared" si="1"/>
        <v>0</v>
      </c>
      <c r="J17" s="103">
        <v>0</v>
      </c>
      <c r="K17" s="104">
        <v>0</v>
      </c>
      <c r="L17" s="104">
        <v>0</v>
      </c>
      <c r="M17" s="103">
        <v>11</v>
      </c>
      <c r="N17" s="103">
        <v>0</v>
      </c>
      <c r="O17" s="103">
        <v>0</v>
      </c>
      <c r="P17" s="103">
        <v>0</v>
      </c>
      <c r="Q17" s="105"/>
      <c r="R17" s="106">
        <f>IF(D17="CT",G17*$R$61,G17*$R$62)</f>
        <v>3645519.2307692305</v>
      </c>
      <c r="S17" s="106">
        <f>IF(D17="CT",I17*$S$61,I17*$S$62)</f>
        <v>0</v>
      </c>
      <c r="T17" s="106">
        <f>IF(D17="CT",K17*$T$61,K17*$T$62)</f>
        <v>0</v>
      </c>
      <c r="U17" s="106">
        <f>IF(D17="CT",L17*$U$61,0)</f>
        <v>0</v>
      </c>
      <c r="V17" s="106">
        <f>IF(D17="CT",M17*$V$61,M17*$V$62)</f>
        <v>572867.30769230763</v>
      </c>
      <c r="W17" s="102">
        <f t="shared" si="2"/>
        <v>0</v>
      </c>
      <c r="X17" s="107">
        <v>0</v>
      </c>
      <c r="Y17" s="106">
        <f t="shared" si="3"/>
        <v>0</v>
      </c>
      <c r="Z17" s="106">
        <f t="shared" si="4"/>
        <v>0</v>
      </c>
      <c r="AA17" s="106">
        <f t="shared" si="9"/>
        <v>0</v>
      </c>
      <c r="AB17" s="106">
        <f t="shared" si="5"/>
        <v>630000</v>
      </c>
      <c r="AC17" s="106">
        <f t="shared" si="6"/>
        <v>0</v>
      </c>
      <c r="AD17" s="106">
        <v>0</v>
      </c>
      <c r="AE17" s="108">
        <f t="shared" si="7"/>
        <v>4848386.538461538</v>
      </c>
      <c r="AF17" s="109">
        <v>0</v>
      </c>
      <c r="AG17" s="106">
        <v>0</v>
      </c>
      <c r="AH17" s="106">
        <v>0</v>
      </c>
      <c r="AI17" s="102">
        <v>750000</v>
      </c>
      <c r="AJ17" s="106">
        <f t="shared" si="8"/>
        <v>750000</v>
      </c>
      <c r="AK17" s="108">
        <f t="shared" si="10"/>
        <v>4098387</v>
      </c>
      <c r="AL17" s="110"/>
      <c r="AM17" s="111"/>
    </row>
    <row r="18" spans="1:39" s="74" customFormat="1" ht="20.399999999999999" customHeight="1">
      <c r="A18" s="97">
        <f t="shared" si="0"/>
        <v>12</v>
      </c>
      <c r="B18" s="98">
        <v>8322</v>
      </c>
      <c r="C18" s="99" t="s">
        <v>39</v>
      </c>
      <c r="D18" s="100" t="s">
        <v>306</v>
      </c>
      <c r="E18" s="101">
        <v>46156</v>
      </c>
      <c r="F18" s="102">
        <v>26</v>
      </c>
      <c r="G18" s="103">
        <v>29.5</v>
      </c>
      <c r="H18" s="103">
        <f>IF(G18&gt;=F18,F18,G18)</f>
        <v>26</v>
      </c>
      <c r="I18" s="103">
        <f t="shared" si="1"/>
        <v>3.5</v>
      </c>
      <c r="J18" s="103">
        <v>0</v>
      </c>
      <c r="K18" s="104">
        <v>0</v>
      </c>
      <c r="L18" s="104">
        <v>0</v>
      </c>
      <c r="M18" s="103">
        <v>0</v>
      </c>
      <c r="N18" s="103">
        <v>0</v>
      </c>
      <c r="O18" s="103">
        <v>0</v>
      </c>
      <c r="P18" s="160">
        <v>3</v>
      </c>
      <c r="Q18" s="105">
        <v>750000</v>
      </c>
      <c r="R18" s="106">
        <f>IF(D18="CT",G18*$R$61,G18*$R$62)</f>
        <v>5121086.538461538</v>
      </c>
      <c r="S18" s="106">
        <f>IF(D18="CT",I18*$S$61,I18*$S$62)</f>
        <v>303793.26923076925</v>
      </c>
      <c r="T18" s="106">
        <f>IF(D18="CT",K18*$T$61,K18*$T$62)</f>
        <v>0</v>
      </c>
      <c r="U18" s="106">
        <f>IF(D18="CT",L18*$U$61,0)</f>
        <v>0</v>
      </c>
      <c r="V18" s="106">
        <f>IF(D18="CT",M18*$V$61,M18*$V$62)</f>
        <v>0</v>
      </c>
      <c r="W18" s="102">
        <f t="shared" si="2"/>
        <v>0</v>
      </c>
      <c r="X18" s="107">
        <v>0</v>
      </c>
      <c r="Y18" s="106">
        <f t="shared" si="3"/>
        <v>0</v>
      </c>
      <c r="Z18" s="106">
        <f t="shared" si="4"/>
        <v>200000</v>
      </c>
      <c r="AA18" s="106">
        <f t="shared" si="9"/>
        <v>72000</v>
      </c>
      <c r="AB18" s="106">
        <f t="shared" si="5"/>
        <v>780000</v>
      </c>
      <c r="AC18" s="106">
        <f t="shared" si="6"/>
        <v>150000</v>
      </c>
      <c r="AD18" s="106">
        <v>0</v>
      </c>
      <c r="AE18" s="108">
        <f t="shared" si="7"/>
        <v>7376879.807692307</v>
      </c>
      <c r="AF18" s="109">
        <v>0</v>
      </c>
      <c r="AG18" s="106">
        <v>0</v>
      </c>
      <c r="AH18" s="106">
        <v>0</v>
      </c>
      <c r="AI18" s="102"/>
      <c r="AJ18" s="106">
        <f t="shared" si="8"/>
        <v>0</v>
      </c>
      <c r="AK18" s="108">
        <f t="shared" si="10"/>
        <v>7376880</v>
      </c>
      <c r="AL18" s="110"/>
      <c r="AM18" s="111"/>
    </row>
    <row r="19" spans="1:39" ht="20.399999999999999" customHeight="1">
      <c r="A19" s="97">
        <f t="shared" si="0"/>
        <v>13</v>
      </c>
      <c r="B19" s="98">
        <v>8323</v>
      </c>
      <c r="C19" s="99" t="s">
        <v>251</v>
      </c>
      <c r="D19" s="100" t="s">
        <v>306</v>
      </c>
      <c r="E19" s="101">
        <v>46163</v>
      </c>
      <c r="F19" s="102">
        <v>26</v>
      </c>
      <c r="G19" s="103">
        <v>19.5</v>
      </c>
      <c r="H19" s="103">
        <f>IF(G19&gt;=F19,F19,G19)</f>
        <v>19.5</v>
      </c>
      <c r="I19" s="103">
        <f t="shared" si="1"/>
        <v>0</v>
      </c>
      <c r="J19" s="103">
        <v>0</v>
      </c>
      <c r="K19" s="104">
        <v>0</v>
      </c>
      <c r="L19" s="104">
        <v>0</v>
      </c>
      <c r="M19" s="103">
        <v>1</v>
      </c>
      <c r="N19" s="103">
        <v>0</v>
      </c>
      <c r="O19" s="103">
        <v>0</v>
      </c>
      <c r="P19" s="103">
        <v>0</v>
      </c>
      <c r="Q19" s="105"/>
      <c r="R19" s="106">
        <f>IF(D19="CT",G19*$R$61,G19*$R$62)</f>
        <v>3385125</v>
      </c>
      <c r="S19" s="106">
        <f>IF(D19="CT",I19*$S$61,I19*$S$62)</f>
        <v>0</v>
      </c>
      <c r="T19" s="106">
        <f>IF(D19="CT",K19*$T$61,K19*$T$62)</f>
        <v>0</v>
      </c>
      <c r="U19" s="106">
        <f>IF(D19="CT",L19*$U$61,0)</f>
        <v>0</v>
      </c>
      <c r="V19" s="106">
        <f>IF(D19="CT",M19*$V$61,M19*$V$62)</f>
        <v>52078.846153846149</v>
      </c>
      <c r="W19" s="102">
        <f t="shared" si="2"/>
        <v>0</v>
      </c>
      <c r="X19" s="107">
        <v>0</v>
      </c>
      <c r="Y19" s="106">
        <f t="shared" si="3"/>
        <v>0</v>
      </c>
      <c r="Z19" s="106">
        <f t="shared" si="4"/>
        <v>0</v>
      </c>
      <c r="AA19" s="106">
        <f t="shared" si="9"/>
        <v>0</v>
      </c>
      <c r="AB19" s="106">
        <f t="shared" si="5"/>
        <v>585000</v>
      </c>
      <c r="AC19" s="106">
        <f t="shared" si="6"/>
        <v>0</v>
      </c>
      <c r="AD19" s="106">
        <v>0</v>
      </c>
      <c r="AE19" s="108">
        <f t="shared" si="7"/>
        <v>4022203.846153846</v>
      </c>
      <c r="AF19" s="109">
        <v>0</v>
      </c>
      <c r="AG19" s="106">
        <v>0</v>
      </c>
      <c r="AH19" s="106">
        <v>0</v>
      </c>
      <c r="AI19" s="102">
        <v>750000</v>
      </c>
      <c r="AJ19" s="106">
        <f t="shared" si="8"/>
        <v>750000</v>
      </c>
      <c r="AK19" s="108">
        <f t="shared" si="10"/>
        <v>3272204</v>
      </c>
      <c r="AL19" s="110"/>
      <c r="AM19" s="111"/>
    </row>
    <row r="20" spans="1:39" ht="20.399999999999999" customHeight="1">
      <c r="A20" s="97">
        <f t="shared" si="0"/>
        <v>14</v>
      </c>
      <c r="B20" s="98">
        <v>8324</v>
      </c>
      <c r="C20" s="112" t="s">
        <v>256</v>
      </c>
      <c r="D20" s="100" t="s">
        <v>306</v>
      </c>
      <c r="E20" s="101">
        <v>46164</v>
      </c>
      <c r="F20" s="102">
        <v>26</v>
      </c>
      <c r="G20" s="103">
        <v>25</v>
      </c>
      <c r="H20" s="103">
        <f>IF(G20&gt;=F20,F20,G20)</f>
        <v>25</v>
      </c>
      <c r="I20" s="103">
        <f t="shared" si="1"/>
        <v>0</v>
      </c>
      <c r="J20" s="103">
        <v>0</v>
      </c>
      <c r="K20" s="104">
        <v>0</v>
      </c>
      <c r="L20" s="104">
        <v>0</v>
      </c>
      <c r="M20" s="103">
        <v>0</v>
      </c>
      <c r="N20" s="103">
        <v>0</v>
      </c>
      <c r="O20" s="103">
        <v>0</v>
      </c>
      <c r="P20" s="103">
        <v>0</v>
      </c>
      <c r="Q20" s="162">
        <v>0</v>
      </c>
      <c r="R20" s="106">
        <f>IF(D20="CT",G20*$R$61,G20*$R$62)</f>
        <v>4339903.846153846</v>
      </c>
      <c r="S20" s="106">
        <f>IF(D20="CT",I20*$S$61,I20*$S$62)</f>
        <v>0</v>
      </c>
      <c r="T20" s="106">
        <f>IF(D20="CT",K20*$T$61,K20*$T$62)</f>
        <v>0</v>
      </c>
      <c r="U20" s="106">
        <f>IF(D20="CT",L20*$U$61,0)</f>
        <v>0</v>
      </c>
      <c r="V20" s="106">
        <f>IF(D20="CT",M20*$V$61,M20*$V$62)</f>
        <v>0</v>
      </c>
      <c r="W20" s="102">
        <f t="shared" si="2"/>
        <v>0</v>
      </c>
      <c r="X20" s="107">
        <v>0</v>
      </c>
      <c r="Y20" s="106">
        <f t="shared" si="3"/>
        <v>0</v>
      </c>
      <c r="Z20" s="106">
        <f t="shared" si="4"/>
        <v>0</v>
      </c>
      <c r="AA20" s="106">
        <f t="shared" si="9"/>
        <v>0</v>
      </c>
      <c r="AB20" s="106">
        <f t="shared" si="5"/>
        <v>750000</v>
      </c>
      <c r="AC20" s="106">
        <f t="shared" si="6"/>
        <v>0</v>
      </c>
      <c r="AD20" s="106">
        <v>0</v>
      </c>
      <c r="AE20" s="108">
        <f t="shared" si="7"/>
        <v>5089903.846153846</v>
      </c>
      <c r="AF20" s="109">
        <v>0</v>
      </c>
      <c r="AG20" s="106">
        <v>0</v>
      </c>
      <c r="AH20" s="106">
        <v>0</v>
      </c>
      <c r="AI20" s="102"/>
      <c r="AJ20" s="106">
        <f t="shared" si="8"/>
        <v>0</v>
      </c>
      <c r="AK20" s="108">
        <f t="shared" si="10"/>
        <v>5089904</v>
      </c>
      <c r="AL20" s="110"/>
      <c r="AM20" s="111"/>
    </row>
    <row r="21" spans="1:39" ht="20.399999999999999" customHeight="1">
      <c r="A21" s="97">
        <f t="shared" si="0"/>
        <v>15</v>
      </c>
      <c r="B21" s="98">
        <v>8325</v>
      </c>
      <c r="C21" s="112" t="s">
        <v>252</v>
      </c>
      <c r="D21" s="100" t="s">
        <v>306</v>
      </c>
      <c r="E21" s="101">
        <v>46164</v>
      </c>
      <c r="F21" s="102">
        <v>26</v>
      </c>
      <c r="G21" s="103">
        <v>25.5</v>
      </c>
      <c r="H21" s="103">
        <f>IF(G21&gt;=F21,F21,G21)</f>
        <v>25.5</v>
      </c>
      <c r="I21" s="103">
        <f t="shared" si="1"/>
        <v>0</v>
      </c>
      <c r="J21" s="103">
        <v>0</v>
      </c>
      <c r="K21" s="104">
        <v>0</v>
      </c>
      <c r="L21" s="104">
        <v>0</v>
      </c>
      <c r="M21" s="103">
        <v>0</v>
      </c>
      <c r="N21" s="103">
        <v>0</v>
      </c>
      <c r="O21" s="103">
        <v>0</v>
      </c>
      <c r="P21" s="103">
        <v>0</v>
      </c>
      <c r="Q21" s="162">
        <v>0</v>
      </c>
      <c r="R21" s="106">
        <f>IF(D21="CT",G21*$R$61,G21*$R$62)</f>
        <v>4426701.923076923</v>
      </c>
      <c r="S21" s="106">
        <f>IF(D21="CT",I21*$S$61,I21*$S$62)</f>
        <v>0</v>
      </c>
      <c r="T21" s="106">
        <f>IF(D21="CT",K21*$T$61,K21*$T$62)</f>
        <v>0</v>
      </c>
      <c r="U21" s="106">
        <f>IF(D21="CT",L21*$U$61,0)</f>
        <v>0</v>
      </c>
      <c r="V21" s="106">
        <f>IF(D21="CT",M21*$V$61,M21*$V$62)</f>
        <v>0</v>
      </c>
      <c r="W21" s="102">
        <f t="shared" si="2"/>
        <v>0</v>
      </c>
      <c r="X21" s="107">
        <v>0</v>
      </c>
      <c r="Y21" s="106">
        <f t="shared" si="3"/>
        <v>0</v>
      </c>
      <c r="Z21" s="106">
        <f t="shared" si="4"/>
        <v>0</v>
      </c>
      <c r="AA21" s="106">
        <f t="shared" si="9"/>
        <v>8000</v>
      </c>
      <c r="AB21" s="106">
        <f t="shared" si="5"/>
        <v>765000</v>
      </c>
      <c r="AC21" s="106">
        <f t="shared" si="6"/>
        <v>0</v>
      </c>
      <c r="AD21" s="106">
        <v>0</v>
      </c>
      <c r="AE21" s="108">
        <f t="shared" si="7"/>
        <v>5199701.923076923</v>
      </c>
      <c r="AF21" s="109">
        <v>0</v>
      </c>
      <c r="AG21" s="106">
        <v>0</v>
      </c>
      <c r="AH21" s="106">
        <v>0</v>
      </c>
      <c r="AI21" s="102"/>
      <c r="AJ21" s="106">
        <f t="shared" si="8"/>
        <v>0</v>
      </c>
      <c r="AK21" s="108">
        <f t="shared" si="10"/>
        <v>5199702</v>
      </c>
      <c r="AL21" s="110"/>
      <c r="AM21" s="111"/>
    </row>
    <row r="22" spans="1:39" ht="20.399999999999999" customHeight="1">
      <c r="A22" s="97">
        <f t="shared" si="0"/>
        <v>16</v>
      </c>
      <c r="B22" s="98">
        <v>8326</v>
      </c>
      <c r="C22" s="99" t="s">
        <v>40</v>
      </c>
      <c r="D22" s="100" t="s">
        <v>306</v>
      </c>
      <c r="E22" s="101">
        <v>46170</v>
      </c>
      <c r="F22" s="102">
        <v>26</v>
      </c>
      <c r="G22" s="103">
        <v>19.5</v>
      </c>
      <c r="H22" s="103">
        <f>IF(G22&gt;=F22,F22,G22)</f>
        <v>19.5</v>
      </c>
      <c r="I22" s="103">
        <f t="shared" si="1"/>
        <v>0</v>
      </c>
      <c r="J22" s="103">
        <v>0</v>
      </c>
      <c r="K22" s="104">
        <v>0</v>
      </c>
      <c r="L22" s="104">
        <v>0</v>
      </c>
      <c r="M22" s="103">
        <v>5</v>
      </c>
      <c r="N22" s="103">
        <v>0</v>
      </c>
      <c r="O22" s="103">
        <v>0</v>
      </c>
      <c r="P22" s="103">
        <v>0</v>
      </c>
      <c r="Q22" s="105">
        <v>750000</v>
      </c>
      <c r="R22" s="106">
        <f>IF(D22="CT",G22*$R$61,G22*$R$62)</f>
        <v>3385125</v>
      </c>
      <c r="S22" s="106">
        <f>IF(D22="CT",I22*$S$61,I22*$S$62)</f>
        <v>0</v>
      </c>
      <c r="T22" s="106">
        <f>IF(D22="CT",K22*$T$61,K22*$T$62)</f>
        <v>0</v>
      </c>
      <c r="U22" s="106">
        <f>IF(D22="CT",L22*$U$61,0)</f>
        <v>0</v>
      </c>
      <c r="V22" s="106">
        <f>IF(D22="CT",M22*$V$61,M22*$V$62)</f>
        <v>260394.23076923075</v>
      </c>
      <c r="W22" s="102">
        <f t="shared" si="2"/>
        <v>0</v>
      </c>
      <c r="X22" s="107">
        <v>0</v>
      </c>
      <c r="Y22" s="106">
        <f t="shared" si="3"/>
        <v>0</v>
      </c>
      <c r="Z22" s="106">
        <f t="shared" si="4"/>
        <v>0</v>
      </c>
      <c r="AA22" s="106">
        <f t="shared" si="9"/>
        <v>0</v>
      </c>
      <c r="AB22" s="106">
        <f t="shared" si="5"/>
        <v>585000</v>
      </c>
      <c r="AC22" s="106">
        <f t="shared" si="6"/>
        <v>0</v>
      </c>
      <c r="AD22" s="106">
        <v>0</v>
      </c>
      <c r="AE22" s="108">
        <f t="shared" si="7"/>
        <v>4980519.230769231</v>
      </c>
      <c r="AF22" s="109">
        <v>0</v>
      </c>
      <c r="AG22" s="106">
        <v>0</v>
      </c>
      <c r="AH22" s="106">
        <v>0</v>
      </c>
      <c r="AI22" s="102"/>
      <c r="AJ22" s="106">
        <f t="shared" si="8"/>
        <v>0</v>
      </c>
      <c r="AK22" s="108">
        <f t="shared" si="10"/>
        <v>4980519</v>
      </c>
      <c r="AL22" s="110"/>
      <c r="AM22" s="111"/>
    </row>
    <row r="23" spans="1:39" ht="20.399999999999999" customHeight="1">
      <c r="A23" s="97">
        <f t="shared" si="0"/>
        <v>17</v>
      </c>
      <c r="B23" s="98">
        <v>8327</v>
      </c>
      <c r="C23" s="99" t="s">
        <v>41</v>
      </c>
      <c r="D23" s="100" t="s">
        <v>306</v>
      </c>
      <c r="E23" s="101">
        <v>46170</v>
      </c>
      <c r="F23" s="102">
        <v>26</v>
      </c>
      <c r="G23" s="103">
        <v>21.5</v>
      </c>
      <c r="H23" s="103">
        <f>IF(G23&gt;=F23,F23,G23)</f>
        <v>21.5</v>
      </c>
      <c r="I23" s="103">
        <f t="shared" si="1"/>
        <v>0</v>
      </c>
      <c r="J23" s="103">
        <v>0</v>
      </c>
      <c r="K23" s="104">
        <v>0</v>
      </c>
      <c r="L23" s="104">
        <v>0</v>
      </c>
      <c r="M23" s="103">
        <v>0</v>
      </c>
      <c r="N23" s="103">
        <v>0</v>
      </c>
      <c r="O23" s="103">
        <v>0</v>
      </c>
      <c r="P23" s="103">
        <v>0</v>
      </c>
      <c r="Q23" s="105">
        <v>750000</v>
      </c>
      <c r="R23" s="106">
        <f>IF(D23="CT",G23*$R$61,G23*$R$62)</f>
        <v>3732317.3076923075</v>
      </c>
      <c r="S23" s="106">
        <f>IF(D23="CT",I23*$S$61,I23*$S$62)</f>
        <v>0</v>
      </c>
      <c r="T23" s="106">
        <f>IF(D23="CT",K23*$T$61,K23*$T$62)</f>
        <v>0</v>
      </c>
      <c r="U23" s="106">
        <f>IF(D23="CT",L23*$U$61,0)</f>
        <v>0</v>
      </c>
      <c r="V23" s="106">
        <f>IF(D23="CT",M23*$V$61,M23*$V$62)</f>
        <v>0</v>
      </c>
      <c r="W23" s="102">
        <f t="shared" si="2"/>
        <v>0</v>
      </c>
      <c r="X23" s="107">
        <v>0</v>
      </c>
      <c r="Y23" s="106">
        <f t="shared" si="3"/>
        <v>0</v>
      </c>
      <c r="Z23" s="106">
        <f t="shared" si="4"/>
        <v>0</v>
      </c>
      <c r="AA23" s="106">
        <f t="shared" si="9"/>
        <v>0</v>
      </c>
      <c r="AB23" s="106">
        <f t="shared" si="5"/>
        <v>645000</v>
      </c>
      <c r="AC23" s="106">
        <f t="shared" si="6"/>
        <v>0</v>
      </c>
      <c r="AD23" s="106">
        <v>0</v>
      </c>
      <c r="AE23" s="108">
        <f t="shared" si="7"/>
        <v>5127317.307692308</v>
      </c>
      <c r="AF23" s="109">
        <v>0</v>
      </c>
      <c r="AG23" s="106">
        <v>0</v>
      </c>
      <c r="AH23" s="106">
        <v>0</v>
      </c>
      <c r="AI23" s="102"/>
      <c r="AJ23" s="106">
        <f t="shared" si="8"/>
        <v>0</v>
      </c>
      <c r="AK23" s="108">
        <f t="shared" si="10"/>
        <v>5127317</v>
      </c>
      <c r="AL23" s="110"/>
      <c r="AM23" s="111"/>
    </row>
    <row r="24" spans="1:39" ht="20.399999999999999" customHeight="1">
      <c r="A24" s="97">
        <f t="shared" si="0"/>
        <v>18</v>
      </c>
      <c r="B24" s="98">
        <v>8330</v>
      </c>
      <c r="C24" s="99" t="s">
        <v>309</v>
      </c>
      <c r="D24" s="100" t="s">
        <v>306</v>
      </c>
      <c r="E24" s="101">
        <v>46179</v>
      </c>
      <c r="F24" s="102">
        <v>26</v>
      </c>
      <c r="G24" s="103">
        <v>9</v>
      </c>
      <c r="H24" s="103">
        <f>IF(G24&gt;=F24,F24,G24)</f>
        <v>9</v>
      </c>
      <c r="I24" s="103">
        <f t="shared" si="1"/>
        <v>0</v>
      </c>
      <c r="J24" s="103">
        <v>0</v>
      </c>
      <c r="K24" s="104">
        <v>0</v>
      </c>
      <c r="L24" s="104">
        <v>0</v>
      </c>
      <c r="M24" s="103">
        <v>0</v>
      </c>
      <c r="N24" s="103">
        <v>0</v>
      </c>
      <c r="O24" s="103">
        <v>0</v>
      </c>
      <c r="P24" s="103">
        <v>0</v>
      </c>
      <c r="Q24" s="105"/>
      <c r="R24" s="106">
        <f>IF(D24="CT",G24*$R$61,G24*$R$62)</f>
        <v>1562365.3846153845</v>
      </c>
      <c r="S24" s="106">
        <f>IF(D24="CT",I24*$S$61,I24*$S$62)</f>
        <v>0</v>
      </c>
      <c r="T24" s="106">
        <f>IF(D24="CT",K24*$T$61,K24*$T$62)</f>
        <v>0</v>
      </c>
      <c r="U24" s="106">
        <f>IF(D24="CT",L24*$U$61,0)</f>
        <v>0</v>
      </c>
      <c r="V24" s="106">
        <f>IF(D24="CT",M24*$V$61,M24*$V$62)</f>
        <v>0</v>
      </c>
      <c r="W24" s="102">
        <f t="shared" si="2"/>
        <v>0</v>
      </c>
      <c r="X24" s="107"/>
      <c r="Y24" s="106">
        <f t="shared" si="3"/>
        <v>0</v>
      </c>
      <c r="Z24" s="106">
        <f t="shared" si="4"/>
        <v>0</v>
      </c>
      <c r="AA24" s="106">
        <f t="shared" si="9"/>
        <v>0</v>
      </c>
      <c r="AB24" s="106">
        <f t="shared" si="5"/>
        <v>270000</v>
      </c>
      <c r="AC24" s="106">
        <f t="shared" si="6"/>
        <v>0</v>
      </c>
      <c r="AD24" s="106">
        <v>0</v>
      </c>
      <c r="AE24" s="108">
        <f t="shared" si="7"/>
        <v>1832365.3846153845</v>
      </c>
      <c r="AF24" s="109"/>
      <c r="AG24" s="106">
        <v>0</v>
      </c>
      <c r="AH24" s="106">
        <v>0</v>
      </c>
      <c r="AI24" s="102"/>
      <c r="AJ24" s="106">
        <f t="shared" si="8"/>
        <v>0</v>
      </c>
      <c r="AK24" s="108">
        <f t="shared" si="10"/>
        <v>1832365</v>
      </c>
      <c r="AL24" s="110"/>
      <c r="AM24" s="111"/>
    </row>
    <row r="25" spans="1:39" ht="20.399999999999999" customHeight="1">
      <c r="A25" s="97">
        <f t="shared" si="0"/>
        <v>19</v>
      </c>
      <c r="B25" s="98">
        <v>8331</v>
      </c>
      <c r="C25" s="99" t="s">
        <v>310</v>
      </c>
      <c r="D25" s="100" t="s">
        <v>306</v>
      </c>
      <c r="E25" s="101">
        <v>46184</v>
      </c>
      <c r="F25" s="102">
        <v>26</v>
      </c>
      <c r="G25" s="103">
        <v>21.5</v>
      </c>
      <c r="H25" s="103">
        <f>IF(G25&gt;=F25,F25,G25)</f>
        <v>21.5</v>
      </c>
      <c r="I25" s="103">
        <f t="shared" si="1"/>
        <v>0</v>
      </c>
      <c r="J25" s="103">
        <v>0</v>
      </c>
      <c r="K25" s="104">
        <v>0</v>
      </c>
      <c r="L25" s="104">
        <v>0</v>
      </c>
      <c r="M25" s="103">
        <v>0</v>
      </c>
      <c r="N25" s="103">
        <v>0</v>
      </c>
      <c r="O25" s="103">
        <v>0</v>
      </c>
      <c r="P25" s="103">
        <v>0</v>
      </c>
      <c r="Q25" s="105"/>
      <c r="R25" s="106">
        <f>IF(D25="CT",G25*$R$61,G25*$R$62)</f>
        <v>3732317.3076923075</v>
      </c>
      <c r="S25" s="106">
        <f>IF(D25="CT",I25*$S$61,I25*$S$62)</f>
        <v>0</v>
      </c>
      <c r="T25" s="106">
        <f>IF(D25="CT",K25*$T$61,K25*$T$62)</f>
        <v>0</v>
      </c>
      <c r="U25" s="106">
        <f>IF(D25="CT",L25*$U$61,0)</f>
        <v>0</v>
      </c>
      <c r="V25" s="106">
        <f>IF(D25="CT",M25*$V$61,M25*$V$62)</f>
        <v>0</v>
      </c>
      <c r="W25" s="102">
        <f t="shared" si="2"/>
        <v>0</v>
      </c>
      <c r="X25" s="107"/>
      <c r="Y25" s="106">
        <f t="shared" si="3"/>
        <v>0</v>
      </c>
      <c r="Z25" s="106">
        <f t="shared" si="4"/>
        <v>0</v>
      </c>
      <c r="AA25" s="106">
        <f t="shared" si="9"/>
        <v>0</v>
      </c>
      <c r="AB25" s="106">
        <f t="shared" si="5"/>
        <v>645000</v>
      </c>
      <c r="AC25" s="106">
        <f t="shared" si="6"/>
        <v>0</v>
      </c>
      <c r="AD25" s="106">
        <v>0</v>
      </c>
      <c r="AE25" s="108">
        <f t="shared" si="7"/>
        <v>4377317.307692308</v>
      </c>
      <c r="AF25" s="109"/>
      <c r="AG25" s="106">
        <v>0</v>
      </c>
      <c r="AH25" s="106">
        <v>0</v>
      </c>
      <c r="AI25" s="102"/>
      <c r="AJ25" s="106">
        <f t="shared" si="8"/>
        <v>0</v>
      </c>
      <c r="AK25" s="108">
        <f t="shared" si="10"/>
        <v>4377317</v>
      </c>
      <c r="AL25" s="110"/>
      <c r="AM25" s="111"/>
    </row>
    <row r="26" spans="1:39" ht="20.399999999999999" customHeight="1">
      <c r="A26" s="97">
        <f t="shared" si="0"/>
        <v>20</v>
      </c>
      <c r="B26" s="98">
        <v>8332</v>
      </c>
      <c r="C26" s="99" t="s">
        <v>248</v>
      </c>
      <c r="D26" s="100" t="s">
        <v>306</v>
      </c>
      <c r="E26" s="101">
        <v>46196</v>
      </c>
      <c r="F26" s="102">
        <v>26</v>
      </c>
      <c r="G26" s="103">
        <v>10.5</v>
      </c>
      <c r="H26" s="103">
        <f>IF(G26&gt;=F26,F26,G26)</f>
        <v>10.5</v>
      </c>
      <c r="I26" s="103">
        <f t="shared" si="1"/>
        <v>0</v>
      </c>
      <c r="J26" s="103">
        <v>0</v>
      </c>
      <c r="K26" s="104">
        <v>0</v>
      </c>
      <c r="L26" s="104">
        <v>0</v>
      </c>
      <c r="M26" s="103">
        <v>0</v>
      </c>
      <c r="N26" s="103">
        <v>0</v>
      </c>
      <c r="O26" s="103">
        <v>0</v>
      </c>
      <c r="P26" s="103">
        <v>0</v>
      </c>
      <c r="Q26" s="105">
        <v>750000</v>
      </c>
      <c r="R26" s="106">
        <f>IF(D26="CT",G26*$R$61,G26*$R$62)</f>
        <v>1822759.6153846153</v>
      </c>
      <c r="S26" s="106">
        <f>IF(D26="CT",I26*$S$61,I26*$S$62)</f>
        <v>0</v>
      </c>
      <c r="T26" s="106">
        <f>IF(D26="CT",K26*$T$61,K26*$T$62)</f>
        <v>0</v>
      </c>
      <c r="U26" s="106">
        <f>IF(D26="CT",L26*$U$61,0)</f>
        <v>0</v>
      </c>
      <c r="V26" s="106">
        <f>IF(D26="CT",M26*$V$61,M26*$V$62)</f>
        <v>0</v>
      </c>
      <c r="W26" s="102">
        <f t="shared" si="2"/>
        <v>0</v>
      </c>
      <c r="X26" s="107"/>
      <c r="Y26" s="106">
        <f t="shared" si="3"/>
        <v>0</v>
      </c>
      <c r="Z26" s="106">
        <f t="shared" si="4"/>
        <v>0</v>
      </c>
      <c r="AA26" s="106">
        <f t="shared" si="9"/>
        <v>0</v>
      </c>
      <c r="AB26" s="106">
        <f t="shared" si="5"/>
        <v>315000</v>
      </c>
      <c r="AC26" s="106">
        <f t="shared" si="6"/>
        <v>0</v>
      </c>
      <c r="AD26" s="106">
        <v>0</v>
      </c>
      <c r="AE26" s="108">
        <f t="shared" si="7"/>
        <v>2887759.615384615</v>
      </c>
      <c r="AF26" s="109"/>
      <c r="AG26" s="106">
        <v>0</v>
      </c>
      <c r="AH26" s="106">
        <v>0</v>
      </c>
      <c r="AI26" s="102"/>
      <c r="AJ26" s="106">
        <f t="shared" si="8"/>
        <v>0</v>
      </c>
      <c r="AK26" s="108">
        <f t="shared" si="10"/>
        <v>2887760</v>
      </c>
      <c r="AL26" s="110"/>
      <c r="AM26" s="111"/>
    </row>
    <row r="27" spans="1:39" ht="20.399999999999999" customHeight="1">
      <c r="A27" s="97">
        <f t="shared" si="0"/>
        <v>21</v>
      </c>
      <c r="B27" s="98">
        <v>8333</v>
      </c>
      <c r="C27" s="99" t="s">
        <v>249</v>
      </c>
      <c r="D27" s="100" t="s">
        <v>306</v>
      </c>
      <c r="E27" s="101">
        <v>46197</v>
      </c>
      <c r="F27" s="102">
        <v>26</v>
      </c>
      <c r="G27" s="103">
        <v>1.5</v>
      </c>
      <c r="H27" s="103">
        <f>IF(G27&gt;=F27,F27,G27)</f>
        <v>1.5</v>
      </c>
      <c r="I27" s="103">
        <f t="shared" si="1"/>
        <v>0</v>
      </c>
      <c r="J27" s="103">
        <v>0</v>
      </c>
      <c r="K27" s="104">
        <v>0</v>
      </c>
      <c r="L27" s="104">
        <v>0</v>
      </c>
      <c r="M27" s="103">
        <v>0</v>
      </c>
      <c r="N27" s="103">
        <v>0</v>
      </c>
      <c r="O27" s="103">
        <v>0</v>
      </c>
      <c r="P27" s="103">
        <v>0</v>
      </c>
      <c r="Q27" s="105">
        <v>750000</v>
      </c>
      <c r="R27" s="106">
        <f>IF(D27="CT",G27*$R$61,G27*$R$62)</f>
        <v>260394.23076923075</v>
      </c>
      <c r="S27" s="106">
        <f>IF(D27="CT",I27*$S$61,I27*$S$62)</f>
        <v>0</v>
      </c>
      <c r="T27" s="106">
        <f>IF(D27="CT",K27*$T$61,K27*$T$62)</f>
        <v>0</v>
      </c>
      <c r="U27" s="106">
        <f>IF(D27="CT",L27*$U$61,0)</f>
        <v>0</v>
      </c>
      <c r="V27" s="106">
        <f>IF(D27="CT",M27*$V$61,M27*$V$62)</f>
        <v>0</v>
      </c>
      <c r="W27" s="102">
        <f t="shared" si="2"/>
        <v>0</v>
      </c>
      <c r="X27" s="107"/>
      <c r="Y27" s="106">
        <f t="shared" si="3"/>
        <v>0</v>
      </c>
      <c r="Z27" s="106">
        <f t="shared" si="4"/>
        <v>0</v>
      </c>
      <c r="AA27" s="106">
        <f t="shared" si="9"/>
        <v>0</v>
      </c>
      <c r="AB27" s="106">
        <f t="shared" si="5"/>
        <v>45000</v>
      </c>
      <c r="AC27" s="106">
        <f t="shared" si="6"/>
        <v>0</v>
      </c>
      <c r="AD27" s="106">
        <v>0</v>
      </c>
      <c r="AE27" s="108">
        <f t="shared" si="7"/>
        <v>1055394.2307692308</v>
      </c>
      <c r="AF27" s="109"/>
      <c r="AG27" s="106">
        <v>0</v>
      </c>
      <c r="AH27" s="106">
        <v>0</v>
      </c>
      <c r="AI27" s="102"/>
      <c r="AJ27" s="106">
        <f t="shared" si="8"/>
        <v>0</v>
      </c>
      <c r="AK27" s="108">
        <f t="shared" si="10"/>
        <v>1055394</v>
      </c>
      <c r="AL27" s="110"/>
      <c r="AM27" s="111"/>
    </row>
    <row r="28" spans="1:39" ht="20.399999999999999" customHeight="1">
      <c r="A28" s="97">
        <f t="shared" si="0"/>
        <v>22</v>
      </c>
      <c r="B28" s="98">
        <v>8201</v>
      </c>
      <c r="C28" s="99" t="s">
        <v>49</v>
      </c>
      <c r="D28" s="100" t="s">
        <v>303</v>
      </c>
      <c r="E28" s="101">
        <v>45713</v>
      </c>
      <c r="F28" s="102">
        <v>26</v>
      </c>
      <c r="G28" s="103">
        <v>30</v>
      </c>
      <c r="H28" s="103">
        <f>IF(G28&gt;=F28,F28,G28)</f>
        <v>26</v>
      </c>
      <c r="I28" s="103">
        <f t="shared" si="1"/>
        <v>4</v>
      </c>
      <c r="J28" s="103">
        <v>0</v>
      </c>
      <c r="K28" s="104">
        <v>0</v>
      </c>
      <c r="L28" s="104">
        <v>0</v>
      </c>
      <c r="M28" s="103">
        <v>23</v>
      </c>
      <c r="N28" s="103">
        <v>0</v>
      </c>
      <c r="O28" s="103">
        <v>0</v>
      </c>
      <c r="P28" s="103">
        <v>0</v>
      </c>
      <c r="Q28" s="105"/>
      <c r="R28" s="106">
        <f>IF(D28="CT",G28*$R$61,G28*$R$62)</f>
        <v>6126923.076923077</v>
      </c>
      <c r="S28" s="106">
        <f>IF(D28="CT",I28*$S$61,I28*$S$62)</f>
        <v>408461.53846153844</v>
      </c>
      <c r="T28" s="106">
        <f>IF(D28="CT",K28*$T$61,K28*$T$62)</f>
        <v>0</v>
      </c>
      <c r="U28" s="106">
        <f>IF(D28="CT",L28*$U$61,0)</f>
        <v>0</v>
      </c>
      <c r="V28" s="106">
        <f>IF(D28="CT",M28*$V$61,M28*$V$62)</f>
        <v>1409192.3076923075</v>
      </c>
      <c r="W28" s="102">
        <f t="shared" si="2"/>
        <v>0</v>
      </c>
      <c r="X28" s="107">
        <v>0</v>
      </c>
      <c r="Y28" s="106">
        <f t="shared" si="3"/>
        <v>0</v>
      </c>
      <c r="Z28" s="106">
        <f t="shared" si="4"/>
        <v>200000</v>
      </c>
      <c r="AA28" s="106">
        <f t="shared" si="9"/>
        <v>80000</v>
      </c>
      <c r="AB28" s="106">
        <f t="shared" si="5"/>
        <v>780000</v>
      </c>
      <c r="AC28" s="106">
        <f t="shared" si="6"/>
        <v>0</v>
      </c>
      <c r="AD28" s="106">
        <v>0</v>
      </c>
      <c r="AE28" s="108">
        <f t="shared" si="7"/>
        <v>9004576.9230769221</v>
      </c>
      <c r="AF28" s="109">
        <v>557550</v>
      </c>
      <c r="AG28" s="106">
        <v>0</v>
      </c>
      <c r="AH28" s="106">
        <v>0</v>
      </c>
      <c r="AI28" s="102"/>
      <c r="AJ28" s="106">
        <f t="shared" si="8"/>
        <v>557550</v>
      </c>
      <c r="AK28" s="108">
        <f t="shared" si="10"/>
        <v>8447027</v>
      </c>
      <c r="AL28" s="110"/>
      <c r="AM28" s="111"/>
    </row>
    <row r="29" spans="1:39" ht="20.399999999999999" customHeight="1">
      <c r="A29" s="97">
        <f t="shared" si="0"/>
        <v>23</v>
      </c>
      <c r="B29" s="98">
        <v>8203</v>
      </c>
      <c r="C29" s="99" t="s">
        <v>54</v>
      </c>
      <c r="D29" s="100" t="s">
        <v>303</v>
      </c>
      <c r="E29" s="101">
        <v>45761</v>
      </c>
      <c r="F29" s="102">
        <v>26</v>
      </c>
      <c r="G29" s="103">
        <v>26</v>
      </c>
      <c r="H29" s="103">
        <f>IF(G29&gt;=F29,F29,G29)</f>
        <v>26</v>
      </c>
      <c r="I29" s="103">
        <f t="shared" si="1"/>
        <v>0</v>
      </c>
      <c r="J29" s="103">
        <v>0</v>
      </c>
      <c r="K29" s="104">
        <v>0</v>
      </c>
      <c r="L29" s="104">
        <v>0</v>
      </c>
      <c r="M29" s="103">
        <v>0</v>
      </c>
      <c r="N29" s="103">
        <v>0</v>
      </c>
      <c r="O29" s="103">
        <v>1</v>
      </c>
      <c r="P29" s="103">
        <v>0</v>
      </c>
      <c r="Q29" s="105"/>
      <c r="R29" s="106">
        <f>IF(D29="CT",G29*$R$61,G29*$R$62)</f>
        <v>5310000</v>
      </c>
      <c r="S29" s="106">
        <f>IF(D29="CT",I29*$S$61,I29*$S$62)</f>
        <v>0</v>
      </c>
      <c r="T29" s="106">
        <f>IF(D29="CT",K29*$T$61,K29*$T$62)</f>
        <v>0</v>
      </c>
      <c r="U29" s="106">
        <f>IF(D29="CT",L29*$U$61,0)</f>
        <v>0</v>
      </c>
      <c r="V29" s="106">
        <f>IF(D29="CT",M29*$V$61,M29*$V$62)</f>
        <v>0</v>
      </c>
      <c r="W29" s="102">
        <f t="shared" si="2"/>
        <v>0</v>
      </c>
      <c r="X29" s="107">
        <v>0</v>
      </c>
      <c r="Y29" s="106">
        <f t="shared" si="3"/>
        <v>204230.76923076922</v>
      </c>
      <c r="Z29" s="106">
        <f t="shared" si="4"/>
        <v>200000</v>
      </c>
      <c r="AA29" s="106">
        <f t="shared" si="9"/>
        <v>16000</v>
      </c>
      <c r="AB29" s="106">
        <f t="shared" si="5"/>
        <v>780000</v>
      </c>
      <c r="AC29" s="106">
        <f t="shared" si="6"/>
        <v>0</v>
      </c>
      <c r="AD29" s="106">
        <v>0</v>
      </c>
      <c r="AE29" s="108">
        <f t="shared" si="7"/>
        <v>6510230.769230769</v>
      </c>
      <c r="AF29" s="109">
        <v>557550</v>
      </c>
      <c r="AG29" s="106">
        <v>0</v>
      </c>
      <c r="AH29" s="106">
        <v>0</v>
      </c>
      <c r="AI29" s="102"/>
      <c r="AJ29" s="106">
        <f t="shared" si="8"/>
        <v>557550</v>
      </c>
      <c r="AK29" s="108">
        <f t="shared" si="10"/>
        <v>5952681</v>
      </c>
      <c r="AL29" s="110"/>
      <c r="AM29" s="111"/>
    </row>
    <row r="30" spans="1:39" ht="20.399999999999999" customHeight="1">
      <c r="A30" s="97">
        <f t="shared" si="0"/>
        <v>24</v>
      </c>
      <c r="B30" s="98">
        <v>8205</v>
      </c>
      <c r="C30" s="99" t="s">
        <v>63</v>
      </c>
      <c r="D30" s="100" t="s">
        <v>303</v>
      </c>
      <c r="E30" s="101">
        <v>44154</v>
      </c>
      <c r="F30" s="102">
        <v>26</v>
      </c>
      <c r="G30" s="103">
        <v>28</v>
      </c>
      <c r="H30" s="103">
        <f>IF(G30&gt;=F30,F30,G30)</f>
        <v>26</v>
      </c>
      <c r="I30" s="103">
        <f t="shared" si="1"/>
        <v>2</v>
      </c>
      <c r="J30" s="103">
        <v>0</v>
      </c>
      <c r="K30" s="104">
        <v>0</v>
      </c>
      <c r="L30" s="104">
        <v>0</v>
      </c>
      <c r="M30" s="103">
        <v>0</v>
      </c>
      <c r="N30" s="103">
        <v>0</v>
      </c>
      <c r="O30" s="103">
        <v>1</v>
      </c>
      <c r="P30" s="103">
        <v>0</v>
      </c>
      <c r="Q30" s="105"/>
      <c r="R30" s="106">
        <f>IF(D30="CT",G30*$R$61,G30*$R$62)</f>
        <v>5718461.538461538</v>
      </c>
      <c r="S30" s="106">
        <f>IF(D30="CT",I30*$S$61,I30*$S$62)</f>
        <v>204230.76923076922</v>
      </c>
      <c r="T30" s="106">
        <f>IF(D30="CT",K30*$T$61,K30*$T$62)</f>
        <v>0</v>
      </c>
      <c r="U30" s="106">
        <f>IF(D30="CT",L30*$U$61,0)</f>
        <v>0</v>
      </c>
      <c r="V30" s="106">
        <f>IF(D30="CT",M30*$V$61,M30*$V$62)</f>
        <v>0</v>
      </c>
      <c r="W30" s="102">
        <f t="shared" si="2"/>
        <v>0</v>
      </c>
      <c r="X30" s="107">
        <v>0</v>
      </c>
      <c r="Y30" s="106">
        <f t="shared" si="3"/>
        <v>204230.76923076922</v>
      </c>
      <c r="Z30" s="106">
        <f t="shared" si="4"/>
        <v>200000</v>
      </c>
      <c r="AA30" s="106">
        <f t="shared" si="9"/>
        <v>48000</v>
      </c>
      <c r="AB30" s="106">
        <f t="shared" si="5"/>
        <v>780000</v>
      </c>
      <c r="AC30" s="106">
        <f t="shared" si="6"/>
        <v>0</v>
      </c>
      <c r="AD30" s="106">
        <v>0</v>
      </c>
      <c r="AE30" s="108">
        <f t="shared" si="7"/>
        <v>7154923.0769230761</v>
      </c>
      <c r="AF30" s="109">
        <v>557550</v>
      </c>
      <c r="AG30" s="106">
        <v>0</v>
      </c>
      <c r="AH30" s="106">
        <v>0</v>
      </c>
      <c r="AI30" s="102"/>
      <c r="AJ30" s="106">
        <f t="shared" si="8"/>
        <v>557550</v>
      </c>
      <c r="AK30" s="108">
        <f t="shared" si="10"/>
        <v>6597373</v>
      </c>
      <c r="AL30" s="110"/>
      <c r="AM30" s="111"/>
    </row>
    <row r="31" spans="1:39" ht="20.399999999999999" customHeight="1">
      <c r="A31" s="97">
        <f t="shared" si="0"/>
        <v>25</v>
      </c>
      <c r="B31" s="98">
        <v>8213</v>
      </c>
      <c r="C31" s="99" t="s">
        <v>62</v>
      </c>
      <c r="D31" s="100" t="s">
        <v>303</v>
      </c>
      <c r="E31" s="101">
        <v>45628</v>
      </c>
      <c r="F31" s="102">
        <v>26</v>
      </c>
      <c r="G31" s="103">
        <v>24</v>
      </c>
      <c r="H31" s="103">
        <f>IF(G31&gt;=F31,F31,G31)</f>
        <v>24</v>
      </c>
      <c r="I31" s="103">
        <f t="shared" si="1"/>
        <v>0</v>
      </c>
      <c r="J31" s="103">
        <v>0</v>
      </c>
      <c r="K31" s="104">
        <v>0</v>
      </c>
      <c r="L31" s="104">
        <v>0</v>
      </c>
      <c r="M31" s="103">
        <v>0</v>
      </c>
      <c r="N31" s="103">
        <v>0</v>
      </c>
      <c r="O31" s="103">
        <v>0</v>
      </c>
      <c r="P31" s="103">
        <v>0</v>
      </c>
      <c r="Q31" s="105"/>
      <c r="R31" s="106">
        <f>IF(D31="CT",G31*$R$61,G31*$R$62)</f>
        <v>4901538.461538461</v>
      </c>
      <c r="S31" s="106">
        <f>IF(D31="CT",I31*$S$61,I31*$S$62)</f>
        <v>0</v>
      </c>
      <c r="T31" s="106">
        <f>IF(D31="CT",K31*$T$61,K31*$T$62)</f>
        <v>0</v>
      </c>
      <c r="U31" s="106">
        <f>IF(D31="CT",L31*$U$61,0)</f>
        <v>0</v>
      </c>
      <c r="V31" s="106">
        <f>IF(D31="CT",M31*$V$61,M31*$V$62)</f>
        <v>0</v>
      </c>
      <c r="W31" s="102">
        <f t="shared" si="2"/>
        <v>0</v>
      </c>
      <c r="X31" s="107">
        <v>1350000</v>
      </c>
      <c r="Y31" s="106">
        <f t="shared" si="3"/>
        <v>0</v>
      </c>
      <c r="Z31" s="106">
        <f t="shared" si="4"/>
        <v>0</v>
      </c>
      <c r="AA31" s="106">
        <f t="shared" si="9"/>
        <v>0</v>
      </c>
      <c r="AB31" s="106">
        <f t="shared" si="5"/>
        <v>720000</v>
      </c>
      <c r="AC31" s="106">
        <f t="shared" si="6"/>
        <v>0</v>
      </c>
      <c r="AD31" s="106">
        <v>0</v>
      </c>
      <c r="AE31" s="108">
        <f t="shared" si="7"/>
        <v>6971538.461538461</v>
      </c>
      <c r="AF31" s="109">
        <v>557550</v>
      </c>
      <c r="AG31" s="106">
        <v>0</v>
      </c>
      <c r="AH31" s="106">
        <v>0</v>
      </c>
      <c r="AI31" s="102"/>
      <c r="AJ31" s="106">
        <f t="shared" si="8"/>
        <v>557550</v>
      </c>
      <c r="AK31" s="108">
        <f t="shared" si="10"/>
        <v>6413988</v>
      </c>
      <c r="AL31" s="110"/>
      <c r="AM31" s="111"/>
    </row>
    <row r="32" spans="1:39" ht="20.399999999999999" customHeight="1">
      <c r="A32" s="97">
        <f t="shared" si="0"/>
        <v>26</v>
      </c>
      <c r="B32" s="98">
        <v>8217</v>
      </c>
      <c r="C32" s="99" t="s">
        <v>67</v>
      </c>
      <c r="D32" s="100" t="s">
        <v>303</v>
      </c>
      <c r="E32" s="101">
        <v>46082</v>
      </c>
      <c r="F32" s="102">
        <v>26</v>
      </c>
      <c r="G32" s="103">
        <v>26</v>
      </c>
      <c r="H32" s="103">
        <f>IF(G32&gt;=F32,F32,G32)</f>
        <v>26</v>
      </c>
      <c r="I32" s="103">
        <f t="shared" si="1"/>
        <v>0</v>
      </c>
      <c r="J32" s="103">
        <v>0</v>
      </c>
      <c r="K32" s="104">
        <v>0</v>
      </c>
      <c r="L32" s="104">
        <v>0</v>
      </c>
      <c r="M32" s="103">
        <v>0</v>
      </c>
      <c r="N32" s="103">
        <v>0</v>
      </c>
      <c r="O32" s="103">
        <v>0</v>
      </c>
      <c r="P32" s="103">
        <v>0</v>
      </c>
      <c r="Q32" s="105"/>
      <c r="R32" s="106">
        <f>IF(D32="CT",G32*$R$61,G32*$R$62)</f>
        <v>5310000</v>
      </c>
      <c r="S32" s="106">
        <f>IF(D32="CT",I32*$S$61,I32*$S$62)</f>
        <v>0</v>
      </c>
      <c r="T32" s="106">
        <f>IF(D32="CT",K32*$T$61,K32*$T$62)</f>
        <v>0</v>
      </c>
      <c r="U32" s="106">
        <f>IF(D32="CT",L32*$U$61,0)</f>
        <v>0</v>
      </c>
      <c r="V32" s="106">
        <f>IF(D32="CT",M32*$V$61,M32*$V$62)</f>
        <v>0</v>
      </c>
      <c r="W32" s="102">
        <f t="shared" si="2"/>
        <v>0</v>
      </c>
      <c r="X32" s="107">
        <v>0</v>
      </c>
      <c r="Y32" s="106">
        <f t="shared" si="3"/>
        <v>0</v>
      </c>
      <c r="Z32" s="106">
        <f t="shared" si="4"/>
        <v>200000</v>
      </c>
      <c r="AA32" s="106">
        <f t="shared" si="9"/>
        <v>16000</v>
      </c>
      <c r="AB32" s="106">
        <f t="shared" si="5"/>
        <v>780000</v>
      </c>
      <c r="AC32" s="106">
        <f t="shared" si="6"/>
        <v>0</v>
      </c>
      <c r="AD32" s="106">
        <v>0</v>
      </c>
      <c r="AE32" s="108">
        <f t="shared" si="7"/>
        <v>6306000</v>
      </c>
      <c r="AF32" s="109">
        <v>557550</v>
      </c>
      <c r="AG32" s="106">
        <v>0</v>
      </c>
      <c r="AH32" s="106">
        <v>0</v>
      </c>
      <c r="AI32" s="102"/>
      <c r="AJ32" s="106">
        <f t="shared" si="8"/>
        <v>557550</v>
      </c>
      <c r="AK32" s="108">
        <f t="shared" si="10"/>
        <v>5748450</v>
      </c>
      <c r="AL32" s="110"/>
      <c r="AM32" s="111"/>
    </row>
    <row r="33" spans="1:39" ht="20.399999999999999" customHeight="1">
      <c r="A33" s="97">
        <f t="shared" si="0"/>
        <v>27</v>
      </c>
      <c r="B33" s="98">
        <v>8219</v>
      </c>
      <c r="C33" s="99" t="s">
        <v>42</v>
      </c>
      <c r="D33" s="100" t="s">
        <v>303</v>
      </c>
      <c r="E33" s="101">
        <v>44287</v>
      </c>
      <c r="F33" s="102">
        <v>26</v>
      </c>
      <c r="G33" s="103">
        <v>24</v>
      </c>
      <c r="H33" s="103">
        <f>IF(G33&gt;=F33,F33,G33)</f>
        <v>24</v>
      </c>
      <c r="I33" s="103">
        <f t="shared" si="1"/>
        <v>0</v>
      </c>
      <c r="J33" s="103">
        <v>0</v>
      </c>
      <c r="K33" s="104">
        <v>0</v>
      </c>
      <c r="L33" s="104">
        <v>0</v>
      </c>
      <c r="M33" s="103">
        <v>0</v>
      </c>
      <c r="N33" s="103">
        <v>0</v>
      </c>
      <c r="O33" s="103">
        <v>3</v>
      </c>
      <c r="P33" s="160">
        <v>5</v>
      </c>
      <c r="Q33" s="105"/>
      <c r="R33" s="106">
        <f>IF(D33="CT",G33*$R$61,G33*$R$62)</f>
        <v>4901538.461538461</v>
      </c>
      <c r="S33" s="106">
        <f>IF(D33="CT",I33*$S$61,I33*$S$62)</f>
        <v>0</v>
      </c>
      <c r="T33" s="106">
        <f>IF(D33="CT",K33*$T$61,K33*$T$62)</f>
        <v>0</v>
      </c>
      <c r="U33" s="106">
        <f>IF(D33="CT",L33*$U$61,0)</f>
        <v>0</v>
      </c>
      <c r="V33" s="106">
        <f>IF(D33="CT",M33*$V$61,M33*$V$62)</f>
        <v>0</v>
      </c>
      <c r="W33" s="102">
        <f t="shared" si="2"/>
        <v>0</v>
      </c>
      <c r="X33" s="107">
        <v>1500000</v>
      </c>
      <c r="Y33" s="106">
        <f t="shared" si="3"/>
        <v>612692.30769230763</v>
      </c>
      <c r="Z33" s="106">
        <f>IF((G33)&gt;=24,$Z$61,0)</f>
        <v>200000</v>
      </c>
      <c r="AA33" s="106">
        <f t="shared" si="9"/>
        <v>0</v>
      </c>
      <c r="AB33" s="106">
        <f t="shared" si="5"/>
        <v>720000</v>
      </c>
      <c r="AC33" s="106">
        <f t="shared" si="6"/>
        <v>250000</v>
      </c>
      <c r="AD33" s="106">
        <v>0</v>
      </c>
      <c r="AE33" s="108">
        <f t="shared" si="7"/>
        <v>8184230.769230769</v>
      </c>
      <c r="AF33" s="109">
        <v>557550</v>
      </c>
      <c r="AG33" s="106">
        <v>0</v>
      </c>
      <c r="AH33" s="106">
        <v>0</v>
      </c>
      <c r="AI33" s="102"/>
      <c r="AJ33" s="106">
        <f t="shared" si="8"/>
        <v>557550</v>
      </c>
      <c r="AK33" s="108">
        <f t="shared" si="10"/>
        <v>7626681</v>
      </c>
      <c r="AL33" s="110"/>
      <c r="AM33" s="111"/>
    </row>
    <row r="34" spans="1:39" ht="20.399999999999999" customHeight="1">
      <c r="A34" s="97">
        <f t="shared" si="0"/>
        <v>28</v>
      </c>
      <c r="B34" s="98">
        <v>8220</v>
      </c>
      <c r="C34" s="99" t="s">
        <v>52</v>
      </c>
      <c r="D34" s="100" t="s">
        <v>303</v>
      </c>
      <c r="E34" s="101">
        <v>45867</v>
      </c>
      <c r="F34" s="102">
        <v>26</v>
      </c>
      <c r="G34" s="103">
        <v>26.5</v>
      </c>
      <c r="H34" s="103">
        <f>IF(G34&gt;=F34,F34,G34)</f>
        <v>26</v>
      </c>
      <c r="I34" s="103">
        <f t="shared" si="1"/>
        <v>0.5</v>
      </c>
      <c r="J34" s="103">
        <v>0</v>
      </c>
      <c r="K34" s="104">
        <v>0</v>
      </c>
      <c r="L34" s="104">
        <v>0</v>
      </c>
      <c r="M34" s="103">
        <v>11</v>
      </c>
      <c r="N34" s="103">
        <v>0</v>
      </c>
      <c r="O34" s="103">
        <v>2</v>
      </c>
      <c r="P34" s="103">
        <v>0</v>
      </c>
      <c r="Q34" s="105"/>
      <c r="R34" s="106">
        <f>IF(D34="CT",G34*$R$61,G34*$R$62)</f>
        <v>5412115.384615384</v>
      </c>
      <c r="S34" s="106">
        <f>IF(D34="CT",I34*$S$61,I34*$S$62)</f>
        <v>51057.692307692305</v>
      </c>
      <c r="T34" s="106">
        <f>IF(D34="CT",K34*$T$61,K34*$T$62)</f>
        <v>0</v>
      </c>
      <c r="U34" s="106">
        <f>IF(D34="CT",L34*$U$61,0)</f>
        <v>0</v>
      </c>
      <c r="V34" s="106">
        <f>IF(D34="CT",M34*$V$61,M34*$V$62)</f>
        <v>673961.53846153838</v>
      </c>
      <c r="W34" s="102">
        <f t="shared" si="2"/>
        <v>0</v>
      </c>
      <c r="X34" s="107">
        <v>0</v>
      </c>
      <c r="Y34" s="106">
        <f t="shared" si="3"/>
        <v>408461.53846153844</v>
      </c>
      <c r="Z34" s="106">
        <f>IF((G34)&gt;=26,$Z$61,0)</f>
        <v>200000</v>
      </c>
      <c r="AA34" s="106">
        <f t="shared" si="9"/>
        <v>24000</v>
      </c>
      <c r="AB34" s="106">
        <f t="shared" si="5"/>
        <v>780000</v>
      </c>
      <c r="AC34" s="106">
        <f t="shared" si="6"/>
        <v>0</v>
      </c>
      <c r="AD34" s="106">
        <v>0</v>
      </c>
      <c r="AE34" s="108">
        <f t="shared" si="7"/>
        <v>7549596.1538461521</v>
      </c>
      <c r="AF34" s="109">
        <v>557550</v>
      </c>
      <c r="AG34" s="106">
        <v>0</v>
      </c>
      <c r="AH34" s="106">
        <v>0</v>
      </c>
      <c r="AI34" s="102"/>
      <c r="AJ34" s="106">
        <f t="shared" si="8"/>
        <v>557550</v>
      </c>
      <c r="AK34" s="108">
        <f t="shared" si="10"/>
        <v>6992046</v>
      </c>
      <c r="AL34" s="110"/>
      <c r="AM34" s="111"/>
    </row>
    <row r="35" spans="1:39" ht="20.399999999999999" customHeight="1">
      <c r="A35" s="97">
        <f t="shared" si="0"/>
        <v>29</v>
      </c>
      <c r="B35" s="98">
        <v>8224</v>
      </c>
      <c r="C35" s="99" t="s">
        <v>51</v>
      </c>
      <c r="D35" s="100" t="s">
        <v>303</v>
      </c>
      <c r="E35" s="101">
        <v>45867</v>
      </c>
      <c r="F35" s="102">
        <v>26</v>
      </c>
      <c r="G35" s="103">
        <v>26.5</v>
      </c>
      <c r="H35" s="103">
        <f>IF(G35&gt;=F35,F35,G35)</f>
        <v>26</v>
      </c>
      <c r="I35" s="103">
        <f t="shared" si="1"/>
        <v>0.5</v>
      </c>
      <c r="J35" s="103">
        <v>0</v>
      </c>
      <c r="K35" s="104">
        <v>0</v>
      </c>
      <c r="L35" s="104">
        <v>0</v>
      </c>
      <c r="M35" s="103">
        <v>6</v>
      </c>
      <c r="N35" s="103">
        <v>0</v>
      </c>
      <c r="O35" s="103">
        <v>0</v>
      </c>
      <c r="P35" s="103">
        <v>0</v>
      </c>
      <c r="Q35" s="105"/>
      <c r="R35" s="106">
        <f>IF(D35="CT",G35*$R$61,G35*$R$62)</f>
        <v>5412115.384615384</v>
      </c>
      <c r="S35" s="106">
        <f>IF(D35="CT",I35*$S$61,I35*$S$62)</f>
        <v>51057.692307692305</v>
      </c>
      <c r="T35" s="106">
        <f>IF(D35="CT",K35*$T$61,K35*$T$62)</f>
        <v>0</v>
      </c>
      <c r="U35" s="106">
        <f>IF(D35="CT",L35*$U$61,0)</f>
        <v>0</v>
      </c>
      <c r="V35" s="106">
        <f>IF(D35="CT",M35*$V$61,M35*$V$62)</f>
        <v>367615.38461538462</v>
      </c>
      <c r="W35" s="102">
        <f t="shared" si="2"/>
        <v>0</v>
      </c>
      <c r="X35" s="107">
        <v>0</v>
      </c>
      <c r="Y35" s="106">
        <f t="shared" si="3"/>
        <v>0</v>
      </c>
      <c r="Z35" s="106">
        <f t="shared" ref="Z35:Z58" si="11">IF((G35)&gt;=26,$Z$61,0)</f>
        <v>200000</v>
      </c>
      <c r="AA35" s="106">
        <f t="shared" si="9"/>
        <v>24000</v>
      </c>
      <c r="AB35" s="106">
        <f t="shared" si="5"/>
        <v>780000</v>
      </c>
      <c r="AC35" s="106">
        <f t="shared" si="6"/>
        <v>0</v>
      </c>
      <c r="AD35" s="106">
        <v>0</v>
      </c>
      <c r="AE35" s="108">
        <f t="shared" si="7"/>
        <v>6834788.461538461</v>
      </c>
      <c r="AF35" s="109">
        <v>557550</v>
      </c>
      <c r="AG35" s="106">
        <v>0</v>
      </c>
      <c r="AH35" s="106">
        <v>0</v>
      </c>
      <c r="AI35" s="102"/>
      <c r="AJ35" s="106">
        <f t="shared" si="8"/>
        <v>557550</v>
      </c>
      <c r="AK35" s="108">
        <f t="shared" si="10"/>
        <v>6277238</v>
      </c>
      <c r="AL35" s="110"/>
      <c r="AM35" s="111"/>
    </row>
    <row r="36" spans="1:39" ht="20.399999999999999" customHeight="1">
      <c r="A36" s="97">
        <f t="shared" si="0"/>
        <v>30</v>
      </c>
      <c r="B36" s="98">
        <v>8230</v>
      </c>
      <c r="C36" s="99" t="s">
        <v>45</v>
      </c>
      <c r="D36" s="100" t="s">
        <v>303</v>
      </c>
      <c r="E36" s="101">
        <v>44348</v>
      </c>
      <c r="F36" s="102">
        <v>26</v>
      </c>
      <c r="G36" s="103">
        <v>21.5</v>
      </c>
      <c r="H36" s="103">
        <f>IF(G36&gt;=F36,F36,G36)</f>
        <v>21.5</v>
      </c>
      <c r="I36" s="103">
        <f t="shared" si="1"/>
        <v>0</v>
      </c>
      <c r="J36" s="103">
        <v>0</v>
      </c>
      <c r="K36" s="104">
        <v>0</v>
      </c>
      <c r="L36" s="104">
        <v>0</v>
      </c>
      <c r="M36" s="103">
        <v>2</v>
      </c>
      <c r="N36" s="103">
        <v>0</v>
      </c>
      <c r="O36" s="103">
        <v>0</v>
      </c>
      <c r="P36" s="103">
        <v>0</v>
      </c>
      <c r="Q36" s="105"/>
      <c r="R36" s="106">
        <f>IF(D36="CT",G36*$R$61,G36*$R$62)</f>
        <v>4390961.538461538</v>
      </c>
      <c r="S36" s="106">
        <f>IF(D36="CT",I36*$S$61,I36*$S$62)</f>
        <v>0</v>
      </c>
      <c r="T36" s="106">
        <f>IF(D36="CT",K36*$T$61,K36*$T$62)</f>
        <v>0</v>
      </c>
      <c r="U36" s="106">
        <f>IF(D36="CT",L36*$U$61,0)</f>
        <v>0</v>
      </c>
      <c r="V36" s="106">
        <f>IF(D36="CT",M36*$V$61,M36*$V$62)</f>
        <v>122538.46153846153</v>
      </c>
      <c r="W36" s="102">
        <f t="shared" si="2"/>
        <v>0</v>
      </c>
      <c r="X36" s="107">
        <v>0</v>
      </c>
      <c r="Y36" s="106">
        <f t="shared" si="3"/>
        <v>0</v>
      </c>
      <c r="Z36" s="106">
        <f t="shared" si="11"/>
        <v>0</v>
      </c>
      <c r="AA36" s="106">
        <f t="shared" si="9"/>
        <v>0</v>
      </c>
      <c r="AB36" s="106">
        <f t="shared" si="5"/>
        <v>645000</v>
      </c>
      <c r="AC36" s="106">
        <f t="shared" si="6"/>
        <v>0</v>
      </c>
      <c r="AD36" s="106">
        <v>0</v>
      </c>
      <c r="AE36" s="108">
        <f t="shared" si="7"/>
        <v>5158500</v>
      </c>
      <c r="AF36" s="109">
        <v>557550</v>
      </c>
      <c r="AG36" s="106">
        <v>0</v>
      </c>
      <c r="AH36" s="106">
        <v>0</v>
      </c>
      <c r="AI36" s="102"/>
      <c r="AJ36" s="106">
        <f t="shared" si="8"/>
        <v>557550</v>
      </c>
      <c r="AK36" s="108">
        <f t="shared" si="10"/>
        <v>4600950</v>
      </c>
      <c r="AL36" s="110"/>
      <c r="AM36" s="111"/>
    </row>
    <row r="37" spans="1:39" ht="20.399999999999999" customHeight="1">
      <c r="A37" s="97">
        <f t="shared" si="0"/>
        <v>31</v>
      </c>
      <c r="B37" s="98">
        <v>8235</v>
      </c>
      <c r="C37" s="113" t="s">
        <v>44</v>
      </c>
      <c r="D37" s="100" t="s">
        <v>303</v>
      </c>
      <c r="E37" s="101">
        <v>45449</v>
      </c>
      <c r="F37" s="102">
        <v>26</v>
      </c>
      <c r="G37" s="103">
        <v>29.5</v>
      </c>
      <c r="H37" s="103">
        <f>IF(G37&gt;=F37,F37,G37)</f>
        <v>26</v>
      </c>
      <c r="I37" s="103">
        <f t="shared" si="1"/>
        <v>3.5</v>
      </c>
      <c r="J37" s="103">
        <v>0</v>
      </c>
      <c r="K37" s="104">
        <v>0</v>
      </c>
      <c r="L37" s="104">
        <v>0</v>
      </c>
      <c r="M37" s="103">
        <v>29</v>
      </c>
      <c r="N37" s="103">
        <v>0</v>
      </c>
      <c r="O37" s="103">
        <v>3</v>
      </c>
      <c r="P37" s="160">
        <v>2</v>
      </c>
      <c r="Q37" s="105"/>
      <c r="R37" s="106">
        <f>IF(D37="CT",G37*$R$61,G37*$R$62)</f>
        <v>6024807.692307692</v>
      </c>
      <c r="S37" s="106">
        <f>IF(D37="CT",I37*$S$61,I37*$S$62)</f>
        <v>357403.84615384613</v>
      </c>
      <c r="T37" s="106">
        <f>IF(D37="CT",K37*$T$61,K37*$T$62)</f>
        <v>0</v>
      </c>
      <c r="U37" s="106">
        <f>IF(D37="CT",L37*$U$61,0)</f>
        <v>0</v>
      </c>
      <c r="V37" s="106">
        <f>IF(D37="CT",M37*$V$61,M37*$V$62)</f>
        <v>1776807.6923076923</v>
      </c>
      <c r="W37" s="102">
        <f t="shared" si="2"/>
        <v>0</v>
      </c>
      <c r="X37" s="107">
        <v>0</v>
      </c>
      <c r="Y37" s="106">
        <f t="shared" si="3"/>
        <v>612692.30769230763</v>
      </c>
      <c r="Z37" s="106">
        <f t="shared" si="11"/>
        <v>200000</v>
      </c>
      <c r="AA37" s="106">
        <f t="shared" si="9"/>
        <v>72000</v>
      </c>
      <c r="AB37" s="106">
        <f t="shared" si="5"/>
        <v>780000</v>
      </c>
      <c r="AC37" s="106">
        <f t="shared" si="6"/>
        <v>100000</v>
      </c>
      <c r="AD37" s="106">
        <v>0</v>
      </c>
      <c r="AE37" s="108">
        <f t="shared" si="7"/>
        <v>9923711.538461538</v>
      </c>
      <c r="AF37" s="109">
        <v>0</v>
      </c>
      <c r="AG37" s="106">
        <v>0</v>
      </c>
      <c r="AH37" s="106">
        <v>0</v>
      </c>
      <c r="AI37" s="102"/>
      <c r="AJ37" s="106">
        <f t="shared" si="8"/>
        <v>0</v>
      </c>
      <c r="AK37" s="108">
        <f t="shared" si="10"/>
        <v>9923712</v>
      </c>
      <c r="AL37" s="110"/>
      <c r="AM37" s="111"/>
    </row>
    <row r="38" spans="1:39" ht="20.399999999999999" customHeight="1">
      <c r="A38" s="97">
        <f t="shared" si="0"/>
        <v>32</v>
      </c>
      <c r="B38" s="98">
        <v>8236</v>
      </c>
      <c r="C38" s="113" t="s">
        <v>60</v>
      </c>
      <c r="D38" s="100" t="s">
        <v>303</v>
      </c>
      <c r="E38" s="101">
        <v>46050</v>
      </c>
      <c r="F38" s="102">
        <v>26</v>
      </c>
      <c r="G38" s="103">
        <v>28</v>
      </c>
      <c r="H38" s="103">
        <f>IF(G38&gt;=F38,F38,G38)</f>
        <v>26</v>
      </c>
      <c r="I38" s="103">
        <f t="shared" si="1"/>
        <v>2</v>
      </c>
      <c r="J38" s="103">
        <v>0</v>
      </c>
      <c r="K38" s="104">
        <v>0</v>
      </c>
      <c r="L38" s="104">
        <v>0</v>
      </c>
      <c r="M38" s="103">
        <v>0</v>
      </c>
      <c r="N38" s="103">
        <v>0</v>
      </c>
      <c r="O38" s="103">
        <v>1</v>
      </c>
      <c r="P38" s="103">
        <v>0</v>
      </c>
      <c r="Q38" s="105"/>
      <c r="R38" s="106">
        <f>IF(D38="CT",G38*$R$61,G38*$R$62)</f>
        <v>5718461.538461538</v>
      </c>
      <c r="S38" s="106">
        <f>IF(D38="CT",I38*$S$61,I38*$S$62)</f>
        <v>204230.76923076922</v>
      </c>
      <c r="T38" s="106">
        <f>IF(D38="CT",K38*$T$61,K38*$T$62)</f>
        <v>0</v>
      </c>
      <c r="U38" s="106">
        <f>IF(D38="CT",L38*$U$61,0)</f>
        <v>0</v>
      </c>
      <c r="V38" s="106">
        <f>IF(D38="CT",M38*$V$61,M38*$V$62)</f>
        <v>0</v>
      </c>
      <c r="W38" s="102">
        <f t="shared" si="2"/>
        <v>0</v>
      </c>
      <c r="X38" s="107">
        <v>0</v>
      </c>
      <c r="Y38" s="106">
        <f t="shared" si="3"/>
        <v>204230.76923076922</v>
      </c>
      <c r="Z38" s="106">
        <f t="shared" si="11"/>
        <v>200000</v>
      </c>
      <c r="AA38" s="106">
        <f t="shared" si="9"/>
        <v>48000</v>
      </c>
      <c r="AB38" s="106">
        <f t="shared" si="5"/>
        <v>780000</v>
      </c>
      <c r="AC38" s="106">
        <f t="shared" si="6"/>
        <v>0</v>
      </c>
      <c r="AD38" s="106">
        <v>0</v>
      </c>
      <c r="AE38" s="108">
        <f t="shared" si="7"/>
        <v>7154923.0769230761</v>
      </c>
      <c r="AF38" s="109">
        <v>557550</v>
      </c>
      <c r="AG38" s="106">
        <v>0</v>
      </c>
      <c r="AH38" s="106">
        <v>0</v>
      </c>
      <c r="AI38" s="102"/>
      <c r="AJ38" s="106">
        <f t="shared" si="8"/>
        <v>557550</v>
      </c>
      <c r="AK38" s="108">
        <f t="shared" si="10"/>
        <v>6597373</v>
      </c>
      <c r="AL38" s="110"/>
      <c r="AM38" s="111"/>
    </row>
    <row r="39" spans="1:39" ht="20.399999999999999" customHeight="1">
      <c r="A39" s="97">
        <f t="shared" si="0"/>
        <v>33</v>
      </c>
      <c r="B39" s="98">
        <v>8237</v>
      </c>
      <c r="C39" s="99" t="s">
        <v>57</v>
      </c>
      <c r="D39" s="100" t="s">
        <v>303</v>
      </c>
      <c r="E39" s="101">
        <v>45863</v>
      </c>
      <c r="F39" s="102">
        <v>26</v>
      </c>
      <c r="G39" s="103">
        <v>31</v>
      </c>
      <c r="H39" s="103">
        <f>IF(G39&gt;=F39,F39,G39)</f>
        <v>26</v>
      </c>
      <c r="I39" s="103">
        <f t="shared" si="1"/>
        <v>5</v>
      </c>
      <c r="J39" s="103">
        <v>0</v>
      </c>
      <c r="K39" s="104">
        <v>0</v>
      </c>
      <c r="L39" s="104">
        <v>0</v>
      </c>
      <c r="M39" s="103">
        <v>0</v>
      </c>
      <c r="N39" s="103">
        <v>0</v>
      </c>
      <c r="O39" s="103">
        <v>0</v>
      </c>
      <c r="P39" s="160">
        <v>3</v>
      </c>
      <c r="Q39" s="105"/>
      <c r="R39" s="106">
        <f>IF(D39="CT",G39*$R$61,G39*$R$62)</f>
        <v>6331153.846153846</v>
      </c>
      <c r="S39" s="106">
        <f>IF(D39="CT",I39*$S$61,I39*$S$62)</f>
        <v>510576.92307692306</v>
      </c>
      <c r="T39" s="106">
        <f>IF(D39="CT",K39*$T$61,K39*$T$62)</f>
        <v>0</v>
      </c>
      <c r="U39" s="106">
        <f>IF(D39="CT",L39*$U$61,0)</f>
        <v>0</v>
      </c>
      <c r="V39" s="106">
        <f>IF(D39="CT",M39*$V$61,M39*$V$62)</f>
        <v>0</v>
      </c>
      <c r="W39" s="102">
        <f t="shared" si="2"/>
        <v>0</v>
      </c>
      <c r="X39" s="107">
        <v>1350000</v>
      </c>
      <c r="Y39" s="106">
        <f t="shared" si="3"/>
        <v>0</v>
      </c>
      <c r="Z39" s="106">
        <f t="shared" si="11"/>
        <v>200000</v>
      </c>
      <c r="AA39" s="106">
        <f t="shared" si="9"/>
        <v>96000</v>
      </c>
      <c r="AB39" s="106">
        <f t="shared" si="5"/>
        <v>780000</v>
      </c>
      <c r="AC39" s="106">
        <f t="shared" si="6"/>
        <v>150000</v>
      </c>
      <c r="AD39" s="106">
        <v>0</v>
      </c>
      <c r="AE39" s="108">
        <f t="shared" si="7"/>
        <v>9417730.7692307681</v>
      </c>
      <c r="AF39" s="109">
        <v>557550</v>
      </c>
      <c r="AG39" s="106">
        <v>0</v>
      </c>
      <c r="AH39" s="106">
        <v>0</v>
      </c>
      <c r="AI39" s="102"/>
      <c r="AJ39" s="106">
        <f t="shared" si="8"/>
        <v>557550</v>
      </c>
      <c r="AK39" s="108">
        <f t="shared" si="10"/>
        <v>8860181</v>
      </c>
      <c r="AL39" s="110"/>
      <c r="AM39" s="111"/>
    </row>
    <row r="40" spans="1:39" ht="20.399999999999999" customHeight="1">
      <c r="A40" s="97">
        <f t="shared" si="0"/>
        <v>34</v>
      </c>
      <c r="B40" s="98">
        <v>8238</v>
      </c>
      <c r="C40" s="99" t="s">
        <v>58</v>
      </c>
      <c r="D40" s="100" t="s">
        <v>303</v>
      </c>
      <c r="E40" s="101">
        <v>45863</v>
      </c>
      <c r="F40" s="102">
        <v>26</v>
      </c>
      <c r="G40" s="103">
        <v>31</v>
      </c>
      <c r="H40" s="103">
        <f>IF(G40&gt;=F40,F40,G40)</f>
        <v>26</v>
      </c>
      <c r="I40" s="103">
        <f t="shared" si="1"/>
        <v>5</v>
      </c>
      <c r="J40" s="103">
        <v>0</v>
      </c>
      <c r="K40" s="104">
        <v>0</v>
      </c>
      <c r="L40" s="104">
        <v>0</v>
      </c>
      <c r="M40" s="103">
        <v>0</v>
      </c>
      <c r="N40" s="103">
        <v>0</v>
      </c>
      <c r="O40" s="103">
        <v>0</v>
      </c>
      <c r="P40" s="103">
        <v>0</v>
      </c>
      <c r="Q40" s="105"/>
      <c r="R40" s="106">
        <f>IF(D40="CT",G40*$R$61,G40*$R$62)</f>
        <v>6331153.846153846</v>
      </c>
      <c r="S40" s="106">
        <f>IF(D40="CT",I40*$S$61,I40*$S$62)</f>
        <v>510576.92307692306</v>
      </c>
      <c r="T40" s="106">
        <f>IF(D40="CT",K40*$T$61,K40*$T$62)</f>
        <v>0</v>
      </c>
      <c r="U40" s="106">
        <f>IF(D40="CT",L40*$U$61,0)</f>
        <v>0</v>
      </c>
      <c r="V40" s="106">
        <f>IF(D40="CT",M40*$V$61,M40*$V$62)</f>
        <v>0</v>
      </c>
      <c r="W40" s="102">
        <f t="shared" si="2"/>
        <v>0</v>
      </c>
      <c r="X40" s="107">
        <v>1350000</v>
      </c>
      <c r="Y40" s="106">
        <f t="shared" si="3"/>
        <v>0</v>
      </c>
      <c r="Z40" s="106">
        <f t="shared" si="11"/>
        <v>200000</v>
      </c>
      <c r="AA40" s="106">
        <f t="shared" si="9"/>
        <v>96000</v>
      </c>
      <c r="AB40" s="106">
        <f t="shared" si="5"/>
        <v>780000</v>
      </c>
      <c r="AC40" s="106">
        <f t="shared" si="6"/>
        <v>0</v>
      </c>
      <c r="AD40" s="106">
        <v>0</v>
      </c>
      <c r="AE40" s="108">
        <f t="shared" si="7"/>
        <v>9267730.7692307681</v>
      </c>
      <c r="AF40" s="109">
        <v>557550</v>
      </c>
      <c r="AG40" s="106">
        <v>0</v>
      </c>
      <c r="AH40" s="106">
        <v>0</v>
      </c>
      <c r="AI40" s="102"/>
      <c r="AJ40" s="106">
        <f t="shared" si="8"/>
        <v>557550</v>
      </c>
      <c r="AK40" s="108">
        <f t="shared" si="10"/>
        <v>8710181</v>
      </c>
      <c r="AL40" s="110"/>
      <c r="AM40" s="111"/>
    </row>
    <row r="41" spans="1:39" ht="20.399999999999999" customHeight="1">
      <c r="A41" s="97">
        <f t="shared" si="0"/>
        <v>35</v>
      </c>
      <c r="B41" s="98">
        <v>8242</v>
      </c>
      <c r="C41" s="99" t="s">
        <v>46</v>
      </c>
      <c r="D41" s="100" t="s">
        <v>303</v>
      </c>
      <c r="E41" s="101">
        <v>45050</v>
      </c>
      <c r="F41" s="102">
        <v>26</v>
      </c>
      <c r="G41" s="103">
        <v>30.5</v>
      </c>
      <c r="H41" s="103">
        <f>IF(G41&gt;=F41,F41,G41)</f>
        <v>26</v>
      </c>
      <c r="I41" s="103">
        <f t="shared" si="1"/>
        <v>4.5</v>
      </c>
      <c r="J41" s="103">
        <v>0</v>
      </c>
      <c r="K41" s="104">
        <v>0</v>
      </c>
      <c r="L41" s="104">
        <v>0</v>
      </c>
      <c r="M41" s="103">
        <v>0</v>
      </c>
      <c r="N41" s="103">
        <v>0</v>
      </c>
      <c r="O41" s="103">
        <v>0</v>
      </c>
      <c r="P41" s="103">
        <v>0</v>
      </c>
      <c r="Q41" s="105"/>
      <c r="R41" s="106">
        <f>IF(D41="CT",G41*$R$61,G41*$R$62)</f>
        <v>6229038.461538461</v>
      </c>
      <c r="S41" s="106">
        <f>IF(D41="CT",I41*$S$61,I41*$S$62)</f>
        <v>459519.23076923075</v>
      </c>
      <c r="T41" s="106">
        <f>IF(D41="CT",K41*$T$61,K41*$T$62)</f>
        <v>0</v>
      </c>
      <c r="U41" s="106">
        <f>IF(D41="CT",L41*$U$61,0)</f>
        <v>0</v>
      </c>
      <c r="V41" s="106">
        <f>IF(D41="CT",M41*$V$61,M41*$V$62)</f>
        <v>0</v>
      </c>
      <c r="W41" s="102">
        <f t="shared" si="2"/>
        <v>0</v>
      </c>
      <c r="X41" s="107">
        <v>0</v>
      </c>
      <c r="Y41" s="106">
        <f t="shared" si="3"/>
        <v>0</v>
      </c>
      <c r="Z41" s="106">
        <f t="shared" si="11"/>
        <v>200000</v>
      </c>
      <c r="AA41" s="106">
        <f t="shared" si="9"/>
        <v>88000</v>
      </c>
      <c r="AB41" s="106">
        <f t="shared" si="5"/>
        <v>780000</v>
      </c>
      <c r="AC41" s="106">
        <f t="shared" si="6"/>
        <v>0</v>
      </c>
      <c r="AD41" s="106">
        <v>0</v>
      </c>
      <c r="AE41" s="108">
        <f t="shared" si="7"/>
        <v>7756557.692307692</v>
      </c>
      <c r="AF41" s="109">
        <v>557550</v>
      </c>
      <c r="AG41" s="106">
        <v>0</v>
      </c>
      <c r="AH41" s="106">
        <v>0</v>
      </c>
      <c r="AI41" s="102"/>
      <c r="AJ41" s="106">
        <f t="shared" si="8"/>
        <v>557550</v>
      </c>
      <c r="AK41" s="108">
        <f t="shared" si="10"/>
        <v>7199008</v>
      </c>
      <c r="AL41" s="110"/>
      <c r="AM41" s="111"/>
    </row>
    <row r="42" spans="1:39" ht="20.399999999999999" customHeight="1">
      <c r="A42" s="97">
        <f t="shared" si="0"/>
        <v>36</v>
      </c>
      <c r="B42" s="98">
        <v>8245</v>
      </c>
      <c r="C42" s="99" t="s">
        <v>53</v>
      </c>
      <c r="D42" s="100" t="s">
        <v>303</v>
      </c>
      <c r="E42" s="101">
        <v>45874</v>
      </c>
      <c r="F42" s="102">
        <v>26</v>
      </c>
      <c r="G42" s="103">
        <v>23.5</v>
      </c>
      <c r="H42" s="103">
        <f>IF(G42&gt;=F42,F42,G42)</f>
        <v>23.5</v>
      </c>
      <c r="I42" s="103">
        <f t="shared" si="1"/>
        <v>0</v>
      </c>
      <c r="J42" s="103">
        <v>0</v>
      </c>
      <c r="K42" s="104">
        <v>0</v>
      </c>
      <c r="L42" s="104">
        <v>0</v>
      </c>
      <c r="M42" s="103">
        <v>18</v>
      </c>
      <c r="N42" s="103">
        <v>0</v>
      </c>
      <c r="O42" s="103">
        <v>1</v>
      </c>
      <c r="P42" s="160">
        <v>5</v>
      </c>
      <c r="Q42" s="105"/>
      <c r="R42" s="106">
        <f>IF(D42="CT",G42*$R$61,G42*$R$62)</f>
        <v>4799423.076923077</v>
      </c>
      <c r="S42" s="106">
        <f>IF(D42="CT",I42*$S$61,I42*$S$62)</f>
        <v>0</v>
      </c>
      <c r="T42" s="106">
        <f>IF(D42="CT",K42*$T$61,K42*$T$62)</f>
        <v>0</v>
      </c>
      <c r="U42" s="106">
        <f>IF(D42="CT",L42*$U$61,0)</f>
        <v>0</v>
      </c>
      <c r="V42" s="106">
        <f>IF(D42="CT",M42*$V$61,M42*$V$62)</f>
        <v>1102846.1538461538</v>
      </c>
      <c r="W42" s="102">
        <f t="shared" si="2"/>
        <v>0</v>
      </c>
      <c r="X42" s="107">
        <v>0</v>
      </c>
      <c r="Y42" s="106">
        <f t="shared" si="3"/>
        <v>204230.76923076922</v>
      </c>
      <c r="Z42" s="106">
        <f t="shared" si="11"/>
        <v>0</v>
      </c>
      <c r="AA42" s="106">
        <f t="shared" si="9"/>
        <v>0</v>
      </c>
      <c r="AB42" s="106">
        <f t="shared" si="5"/>
        <v>705000</v>
      </c>
      <c r="AC42" s="106">
        <f t="shared" si="6"/>
        <v>250000</v>
      </c>
      <c r="AD42" s="106">
        <v>0</v>
      </c>
      <c r="AE42" s="108">
        <f t="shared" si="7"/>
        <v>7061500</v>
      </c>
      <c r="AF42" s="109">
        <v>557550</v>
      </c>
      <c r="AG42" s="106">
        <v>0</v>
      </c>
      <c r="AH42" s="106">
        <v>0</v>
      </c>
      <c r="AI42" s="102"/>
      <c r="AJ42" s="106">
        <f t="shared" si="8"/>
        <v>557550</v>
      </c>
      <c r="AK42" s="108">
        <f t="shared" si="10"/>
        <v>6503950</v>
      </c>
      <c r="AL42" s="110"/>
      <c r="AM42" s="111"/>
    </row>
    <row r="43" spans="1:39" ht="20.399999999999999" customHeight="1">
      <c r="A43" s="97">
        <f t="shared" si="0"/>
        <v>37</v>
      </c>
      <c r="B43" s="98">
        <v>8247</v>
      </c>
      <c r="C43" s="99" t="s">
        <v>66</v>
      </c>
      <c r="D43" s="100" t="s">
        <v>303</v>
      </c>
      <c r="E43" s="101">
        <v>45077</v>
      </c>
      <c r="F43" s="102">
        <v>26</v>
      </c>
      <c r="G43" s="103">
        <v>26</v>
      </c>
      <c r="H43" s="103">
        <f>IF(G43&gt;=F43,F43,G43)</f>
        <v>26</v>
      </c>
      <c r="I43" s="103">
        <f t="shared" si="1"/>
        <v>0</v>
      </c>
      <c r="J43" s="103">
        <v>0</v>
      </c>
      <c r="K43" s="104">
        <v>0</v>
      </c>
      <c r="L43" s="104">
        <v>0</v>
      </c>
      <c r="M43" s="103">
        <v>0</v>
      </c>
      <c r="N43" s="103">
        <v>0</v>
      </c>
      <c r="O43" s="103">
        <v>1</v>
      </c>
      <c r="P43" s="103">
        <v>0</v>
      </c>
      <c r="Q43" s="105"/>
      <c r="R43" s="106">
        <f>IF(D43="CT",G43*$R$61,G43*$R$62)</f>
        <v>5310000</v>
      </c>
      <c r="S43" s="106">
        <f>IF(D43="CT",I43*$S$61,I43*$S$62)</f>
        <v>0</v>
      </c>
      <c r="T43" s="106">
        <f>IF(D43="CT",K43*$T$61,K43*$T$62)</f>
        <v>0</v>
      </c>
      <c r="U43" s="106">
        <f>IF(D43="CT",L43*$U$61,0)</f>
        <v>0</v>
      </c>
      <c r="V43" s="106">
        <f>IF(D43="CT",M43*$V$61,M43*$V$62)</f>
        <v>0</v>
      </c>
      <c r="W43" s="102">
        <f t="shared" si="2"/>
        <v>0</v>
      </c>
      <c r="X43" s="107">
        <v>0</v>
      </c>
      <c r="Y43" s="106">
        <f t="shared" si="3"/>
        <v>204230.76923076922</v>
      </c>
      <c r="Z43" s="106">
        <f t="shared" si="11"/>
        <v>200000</v>
      </c>
      <c r="AA43" s="106">
        <f t="shared" si="9"/>
        <v>16000</v>
      </c>
      <c r="AB43" s="106">
        <f t="shared" si="5"/>
        <v>780000</v>
      </c>
      <c r="AC43" s="106">
        <f t="shared" si="6"/>
        <v>0</v>
      </c>
      <c r="AD43" s="106">
        <v>0</v>
      </c>
      <c r="AE43" s="108">
        <f t="shared" si="7"/>
        <v>6510230.769230769</v>
      </c>
      <c r="AF43" s="109">
        <v>557550</v>
      </c>
      <c r="AG43" s="106">
        <v>0</v>
      </c>
      <c r="AH43" s="106">
        <v>0</v>
      </c>
      <c r="AI43" s="102"/>
      <c r="AJ43" s="106">
        <f t="shared" si="8"/>
        <v>557550</v>
      </c>
      <c r="AK43" s="108">
        <f t="shared" si="10"/>
        <v>5952681</v>
      </c>
      <c r="AL43" s="110"/>
      <c r="AM43" s="111"/>
    </row>
    <row r="44" spans="1:39" ht="20.399999999999999" customHeight="1">
      <c r="A44" s="97">
        <f t="shared" si="0"/>
        <v>38</v>
      </c>
      <c r="B44" s="98">
        <v>8249</v>
      </c>
      <c r="C44" s="99" t="s">
        <v>311</v>
      </c>
      <c r="D44" s="100" t="s">
        <v>303</v>
      </c>
      <c r="E44" s="101">
        <v>45091</v>
      </c>
      <c r="F44" s="102">
        <v>26</v>
      </c>
      <c r="G44" s="103">
        <v>25</v>
      </c>
      <c r="H44" s="103">
        <f>IF(G44&gt;=F44,F44,G44)</f>
        <v>25</v>
      </c>
      <c r="I44" s="103">
        <f t="shared" si="1"/>
        <v>0</v>
      </c>
      <c r="J44" s="103">
        <v>0</v>
      </c>
      <c r="K44" s="104">
        <v>0</v>
      </c>
      <c r="L44" s="104">
        <v>0</v>
      </c>
      <c r="M44" s="103">
        <v>0</v>
      </c>
      <c r="N44" s="103">
        <v>0</v>
      </c>
      <c r="O44" s="103">
        <v>3</v>
      </c>
      <c r="P44" s="103">
        <v>0</v>
      </c>
      <c r="Q44" s="105"/>
      <c r="R44" s="106">
        <f>IF(D44="CT",G44*$R$61,G44*$R$62)</f>
        <v>5105769.2307692301</v>
      </c>
      <c r="S44" s="106">
        <f>IF(D44="CT",I44*$S$61,I44*$S$62)</f>
        <v>0</v>
      </c>
      <c r="T44" s="106">
        <f>IF(D44="CT",K44*$T$61,K44*$T$62)</f>
        <v>0</v>
      </c>
      <c r="U44" s="106">
        <f>IF(D44="CT",L44*$U$61,0)</f>
        <v>0</v>
      </c>
      <c r="V44" s="106">
        <f>IF(D44="CT",M44*$V$61,M44*$V$62)</f>
        <v>0</v>
      </c>
      <c r="W44" s="102">
        <f t="shared" si="2"/>
        <v>0</v>
      </c>
      <c r="X44" s="107">
        <v>0</v>
      </c>
      <c r="Y44" s="106">
        <f t="shared" si="3"/>
        <v>612692.30769230763</v>
      </c>
      <c r="Z44" s="106">
        <f t="shared" si="11"/>
        <v>0</v>
      </c>
      <c r="AA44" s="106">
        <f t="shared" si="9"/>
        <v>0</v>
      </c>
      <c r="AB44" s="106">
        <f t="shared" si="5"/>
        <v>750000</v>
      </c>
      <c r="AC44" s="106">
        <f t="shared" si="6"/>
        <v>0</v>
      </c>
      <c r="AD44" s="106">
        <v>0</v>
      </c>
      <c r="AE44" s="108">
        <f t="shared" si="7"/>
        <v>6468461.538461538</v>
      </c>
      <c r="AF44" s="109">
        <v>557550</v>
      </c>
      <c r="AG44" s="106">
        <v>0</v>
      </c>
      <c r="AH44" s="106">
        <v>0</v>
      </c>
      <c r="AI44" s="102"/>
      <c r="AJ44" s="106">
        <f t="shared" si="8"/>
        <v>557550</v>
      </c>
      <c r="AK44" s="108">
        <f t="shared" si="10"/>
        <v>5910912</v>
      </c>
      <c r="AL44" s="110"/>
      <c r="AM44" s="111"/>
    </row>
    <row r="45" spans="1:39" ht="20.399999999999999" customHeight="1">
      <c r="A45" s="97">
        <f t="shared" si="0"/>
        <v>39</v>
      </c>
      <c r="B45" s="98">
        <v>8254</v>
      </c>
      <c r="C45" s="99" t="s">
        <v>47</v>
      </c>
      <c r="D45" s="100" t="s">
        <v>303</v>
      </c>
      <c r="E45" s="101">
        <v>45113</v>
      </c>
      <c r="F45" s="102">
        <v>26</v>
      </c>
      <c r="G45" s="103">
        <v>31</v>
      </c>
      <c r="H45" s="103">
        <f>IF(G45&gt;=F45,F45,G45)</f>
        <v>26</v>
      </c>
      <c r="I45" s="103">
        <f t="shared" si="1"/>
        <v>5</v>
      </c>
      <c r="J45" s="103">
        <v>0</v>
      </c>
      <c r="K45" s="104">
        <v>0</v>
      </c>
      <c r="L45" s="104">
        <v>0</v>
      </c>
      <c r="M45" s="103">
        <v>0</v>
      </c>
      <c r="N45" s="103">
        <v>0</v>
      </c>
      <c r="O45" s="103">
        <v>2</v>
      </c>
      <c r="P45" s="160">
        <v>4</v>
      </c>
      <c r="Q45" s="105"/>
      <c r="R45" s="106">
        <f>IF(D45="CT",G45*$R$61,G45*$R$62)</f>
        <v>6331153.846153846</v>
      </c>
      <c r="S45" s="106">
        <f>IF(D45="CT",I45*$S$61,I45*$S$62)</f>
        <v>510576.92307692306</v>
      </c>
      <c r="T45" s="106">
        <f>IF(D45="CT",K45*$T$61,K45*$T$62)</f>
        <v>0</v>
      </c>
      <c r="U45" s="106">
        <f>IF(D45="CT",L45*$U$61,0)</f>
        <v>0</v>
      </c>
      <c r="V45" s="106">
        <f>IF(D45="CT",M45*$V$61,M45*$V$62)</f>
        <v>0</v>
      </c>
      <c r="W45" s="102">
        <f t="shared" si="2"/>
        <v>0</v>
      </c>
      <c r="X45" s="107">
        <v>0</v>
      </c>
      <c r="Y45" s="106">
        <f t="shared" si="3"/>
        <v>408461.53846153844</v>
      </c>
      <c r="Z45" s="106">
        <f t="shared" si="11"/>
        <v>200000</v>
      </c>
      <c r="AA45" s="106">
        <f t="shared" si="9"/>
        <v>96000</v>
      </c>
      <c r="AB45" s="106">
        <f t="shared" si="5"/>
        <v>780000</v>
      </c>
      <c r="AC45" s="106">
        <f t="shared" si="6"/>
        <v>200000</v>
      </c>
      <c r="AD45" s="106">
        <v>0</v>
      </c>
      <c r="AE45" s="108">
        <f t="shared" si="7"/>
        <v>8526192.307692308</v>
      </c>
      <c r="AF45" s="109">
        <v>557550</v>
      </c>
      <c r="AG45" s="106">
        <v>0</v>
      </c>
      <c r="AH45" s="106">
        <v>0</v>
      </c>
      <c r="AI45" s="102"/>
      <c r="AJ45" s="106">
        <f t="shared" si="8"/>
        <v>557550</v>
      </c>
      <c r="AK45" s="108">
        <f t="shared" si="10"/>
        <v>7968642</v>
      </c>
      <c r="AL45" s="110"/>
      <c r="AM45" s="111"/>
    </row>
    <row r="46" spans="1:39" ht="20.399999999999999" customHeight="1">
      <c r="A46" s="97">
        <f t="shared" si="0"/>
        <v>40</v>
      </c>
      <c r="B46" s="98">
        <v>8255</v>
      </c>
      <c r="C46" s="99" t="s">
        <v>253</v>
      </c>
      <c r="D46" s="100" t="s">
        <v>303</v>
      </c>
      <c r="E46" s="101">
        <v>45573</v>
      </c>
      <c r="F46" s="102">
        <v>26</v>
      </c>
      <c r="G46" s="103">
        <v>31</v>
      </c>
      <c r="H46" s="103">
        <f>IF(G46&gt;=F46,F46,G46)</f>
        <v>26</v>
      </c>
      <c r="I46" s="103">
        <f t="shared" si="1"/>
        <v>5</v>
      </c>
      <c r="J46" s="103">
        <v>0</v>
      </c>
      <c r="K46" s="104">
        <v>0</v>
      </c>
      <c r="L46" s="104">
        <v>0</v>
      </c>
      <c r="M46" s="103">
        <v>9</v>
      </c>
      <c r="N46" s="103">
        <v>0</v>
      </c>
      <c r="O46" s="103">
        <v>3</v>
      </c>
      <c r="P46" s="160">
        <v>1</v>
      </c>
      <c r="Q46" s="105"/>
      <c r="R46" s="106">
        <f>IF(D46="CT",G46*$R$61,G46*$R$62)</f>
        <v>6331153.846153846</v>
      </c>
      <c r="S46" s="106">
        <f>IF(D46="CT",I46*$S$61,I46*$S$62)</f>
        <v>510576.92307692306</v>
      </c>
      <c r="T46" s="106">
        <f>IF(D46="CT",K46*$T$61,K46*$T$62)</f>
        <v>0</v>
      </c>
      <c r="U46" s="106">
        <f>IF(D46="CT",L46*$U$61,0)</f>
        <v>0</v>
      </c>
      <c r="V46" s="106">
        <f>IF(D46="CT",M46*$V$61,M46*$V$62)</f>
        <v>551423.07692307688</v>
      </c>
      <c r="W46" s="102">
        <f t="shared" si="2"/>
        <v>0</v>
      </c>
      <c r="X46" s="107">
        <v>0</v>
      </c>
      <c r="Y46" s="106">
        <f t="shared" si="3"/>
        <v>612692.30769230763</v>
      </c>
      <c r="Z46" s="106">
        <f t="shared" si="11"/>
        <v>200000</v>
      </c>
      <c r="AA46" s="106">
        <f t="shared" si="9"/>
        <v>96000</v>
      </c>
      <c r="AB46" s="106">
        <f t="shared" si="5"/>
        <v>780000</v>
      </c>
      <c r="AC46" s="106">
        <f t="shared" si="6"/>
        <v>50000</v>
      </c>
      <c r="AD46" s="106">
        <v>0</v>
      </c>
      <c r="AE46" s="108">
        <f t="shared" si="7"/>
        <v>9131846.153846154</v>
      </c>
      <c r="AF46" s="109">
        <v>557550</v>
      </c>
      <c r="AG46" s="106">
        <v>0</v>
      </c>
      <c r="AH46" s="106">
        <v>0</v>
      </c>
      <c r="AI46" s="102"/>
      <c r="AJ46" s="106">
        <f t="shared" si="8"/>
        <v>557550</v>
      </c>
      <c r="AK46" s="108">
        <f t="shared" si="10"/>
        <v>8574296</v>
      </c>
      <c r="AL46" s="110"/>
      <c r="AM46" s="111"/>
    </row>
    <row r="47" spans="1:39" ht="20.399999999999999" customHeight="1">
      <c r="A47" s="97">
        <f t="shared" si="0"/>
        <v>41</v>
      </c>
      <c r="B47" s="98">
        <v>8258</v>
      </c>
      <c r="C47" s="99" t="s">
        <v>48</v>
      </c>
      <c r="D47" s="100" t="s">
        <v>303</v>
      </c>
      <c r="E47" s="101">
        <v>45532</v>
      </c>
      <c r="F47" s="102">
        <v>26</v>
      </c>
      <c r="G47" s="103">
        <v>31</v>
      </c>
      <c r="H47" s="103">
        <f>IF(G47&gt;=F47,F47,G47)</f>
        <v>26</v>
      </c>
      <c r="I47" s="103">
        <f t="shared" si="1"/>
        <v>5</v>
      </c>
      <c r="J47" s="103">
        <v>0</v>
      </c>
      <c r="K47" s="104">
        <v>0</v>
      </c>
      <c r="L47" s="104">
        <v>0</v>
      </c>
      <c r="M47" s="103">
        <v>28</v>
      </c>
      <c r="N47" s="103">
        <v>0</v>
      </c>
      <c r="O47" s="103">
        <v>2</v>
      </c>
      <c r="P47" s="103">
        <v>0</v>
      </c>
      <c r="Q47" s="105"/>
      <c r="R47" s="106">
        <f>IF(D47="CT",G47*$R$61,G47*$R$62)</f>
        <v>6331153.846153846</v>
      </c>
      <c r="S47" s="106">
        <f>IF(D47="CT",I47*$S$61,I47*$S$62)</f>
        <v>510576.92307692306</v>
      </c>
      <c r="T47" s="106">
        <f>IF(D47="CT",K47*$T$61,K47*$T$62)</f>
        <v>0</v>
      </c>
      <c r="U47" s="106">
        <f>IF(D47="CT",L47*$U$61,0)</f>
        <v>0</v>
      </c>
      <c r="V47" s="106">
        <f>IF(D47="CT",M47*$V$61,M47*$V$62)</f>
        <v>1715538.4615384615</v>
      </c>
      <c r="W47" s="102">
        <f t="shared" si="2"/>
        <v>0</v>
      </c>
      <c r="X47" s="107">
        <v>0</v>
      </c>
      <c r="Y47" s="106">
        <f t="shared" si="3"/>
        <v>408461.53846153844</v>
      </c>
      <c r="Z47" s="106">
        <f t="shared" si="11"/>
        <v>200000</v>
      </c>
      <c r="AA47" s="106">
        <f t="shared" si="9"/>
        <v>96000</v>
      </c>
      <c r="AB47" s="106">
        <f t="shared" si="5"/>
        <v>780000</v>
      </c>
      <c r="AC47" s="106">
        <f t="shared" si="6"/>
        <v>0</v>
      </c>
      <c r="AD47" s="106">
        <v>0</v>
      </c>
      <c r="AE47" s="108">
        <f t="shared" si="7"/>
        <v>10041730.769230768</v>
      </c>
      <c r="AF47" s="109">
        <v>557550</v>
      </c>
      <c r="AG47" s="106">
        <v>0</v>
      </c>
      <c r="AH47" s="106">
        <v>0</v>
      </c>
      <c r="AI47" s="102"/>
      <c r="AJ47" s="106">
        <f t="shared" si="8"/>
        <v>557550</v>
      </c>
      <c r="AK47" s="108">
        <f t="shared" si="10"/>
        <v>9484181</v>
      </c>
      <c r="AL47" s="110"/>
      <c r="AM47" s="111"/>
    </row>
    <row r="48" spans="1:39" ht="20.399999999999999" customHeight="1">
      <c r="A48" s="97">
        <f t="shared" si="0"/>
        <v>42</v>
      </c>
      <c r="B48" s="98">
        <v>8262</v>
      </c>
      <c r="C48" s="99" t="s">
        <v>50</v>
      </c>
      <c r="D48" s="100" t="s">
        <v>303</v>
      </c>
      <c r="E48" s="101">
        <v>45841</v>
      </c>
      <c r="F48" s="102">
        <v>26</v>
      </c>
      <c r="G48" s="103">
        <v>24</v>
      </c>
      <c r="H48" s="103">
        <f>IF(G48&gt;=F48,F48,G48)</f>
        <v>24</v>
      </c>
      <c r="I48" s="103">
        <f t="shared" si="1"/>
        <v>0</v>
      </c>
      <c r="J48" s="103">
        <v>0</v>
      </c>
      <c r="K48" s="104">
        <v>0</v>
      </c>
      <c r="L48" s="104">
        <v>0</v>
      </c>
      <c r="M48" s="103">
        <v>0</v>
      </c>
      <c r="N48" s="103">
        <v>0</v>
      </c>
      <c r="O48" s="103">
        <v>1</v>
      </c>
      <c r="P48" s="103">
        <v>0</v>
      </c>
      <c r="Q48" s="105"/>
      <c r="R48" s="106">
        <f>IF(D48="CT",G48*$R$61,G48*$R$62)</f>
        <v>4901538.461538461</v>
      </c>
      <c r="S48" s="106">
        <f>IF(D48="CT",I48*$S$61,I48*$S$62)</f>
        <v>0</v>
      </c>
      <c r="T48" s="106">
        <f>IF(D48="CT",K48*$T$61,K48*$T$62)</f>
        <v>0</v>
      </c>
      <c r="U48" s="106">
        <f>IF(D48="CT",L48*$U$61,0)</f>
        <v>0</v>
      </c>
      <c r="V48" s="106">
        <f>IF(D48="CT",M48*$V$61,M48*$V$62)</f>
        <v>0</v>
      </c>
      <c r="W48" s="102">
        <f t="shared" si="2"/>
        <v>0</v>
      </c>
      <c r="X48" s="107">
        <v>0</v>
      </c>
      <c r="Y48" s="106">
        <f t="shared" si="3"/>
        <v>204230.76923076922</v>
      </c>
      <c r="Z48" s="106">
        <f t="shared" si="11"/>
        <v>0</v>
      </c>
      <c r="AA48" s="106">
        <f>IF(G48&gt;23,(G48-23)*16000,0)</f>
        <v>16000</v>
      </c>
      <c r="AB48" s="106">
        <f t="shared" si="5"/>
        <v>720000</v>
      </c>
      <c r="AC48" s="106">
        <f t="shared" si="6"/>
        <v>0</v>
      </c>
      <c r="AD48" s="106">
        <v>0</v>
      </c>
      <c r="AE48" s="108">
        <f t="shared" ref="AE48:AE57" si="12">SUM(Q48:AD48)</f>
        <v>5841769.2307692301</v>
      </c>
      <c r="AF48" s="109">
        <v>557550</v>
      </c>
      <c r="AG48" s="106">
        <v>0</v>
      </c>
      <c r="AH48" s="106">
        <v>0</v>
      </c>
      <c r="AI48" s="102"/>
      <c r="AJ48" s="106">
        <f t="shared" si="8"/>
        <v>557550</v>
      </c>
      <c r="AK48" s="108">
        <f t="shared" si="10"/>
        <v>5284219</v>
      </c>
      <c r="AL48" s="110"/>
      <c r="AM48" s="111"/>
    </row>
    <row r="49" spans="1:39" ht="20.399999999999999" customHeight="1">
      <c r="A49" s="97">
        <f t="shared" si="0"/>
        <v>43</v>
      </c>
      <c r="B49" s="98">
        <v>8267</v>
      </c>
      <c r="C49" s="99" t="s">
        <v>68</v>
      </c>
      <c r="D49" s="100" t="s">
        <v>303</v>
      </c>
      <c r="E49" s="101">
        <v>45189</v>
      </c>
      <c r="F49" s="102">
        <v>26</v>
      </c>
      <c r="G49" s="103">
        <v>24</v>
      </c>
      <c r="H49" s="103">
        <f>IF(G49&gt;=F49,F49,G49)</f>
        <v>24</v>
      </c>
      <c r="I49" s="103">
        <f t="shared" si="1"/>
        <v>0</v>
      </c>
      <c r="J49" s="103">
        <v>0</v>
      </c>
      <c r="K49" s="104">
        <v>0</v>
      </c>
      <c r="L49" s="104">
        <v>0</v>
      </c>
      <c r="M49" s="103">
        <v>0</v>
      </c>
      <c r="N49" s="103">
        <v>0</v>
      </c>
      <c r="O49" s="103">
        <v>3</v>
      </c>
      <c r="P49" s="103">
        <v>0</v>
      </c>
      <c r="Q49" s="105"/>
      <c r="R49" s="106">
        <f>IF(D49="CT",G49*$R$61,G49*$R$62)</f>
        <v>4901538.461538461</v>
      </c>
      <c r="S49" s="106">
        <f>IF(D49="CT",I49*$S$61,I49*$S$62)</f>
        <v>0</v>
      </c>
      <c r="T49" s="106">
        <f>IF(D49="CT",K49*$T$61,K49*$T$62)</f>
        <v>0</v>
      </c>
      <c r="U49" s="106">
        <f>IF(D49="CT",L49*$U$61,0)</f>
        <v>0</v>
      </c>
      <c r="V49" s="106">
        <f>IF(D49="CT",M49*$V$61,M49*$V$62)</f>
        <v>0</v>
      </c>
      <c r="W49" s="102">
        <f t="shared" si="2"/>
        <v>0</v>
      </c>
      <c r="X49" s="107">
        <v>0</v>
      </c>
      <c r="Y49" s="106">
        <f t="shared" si="3"/>
        <v>612692.30769230763</v>
      </c>
      <c r="Z49" s="106">
        <f t="shared" si="11"/>
        <v>0</v>
      </c>
      <c r="AA49" s="106">
        <f t="shared" ref="AA49:AA58" si="13">IF(G49&gt;25,(G49-25)*16000,0)</f>
        <v>0</v>
      </c>
      <c r="AB49" s="106">
        <f t="shared" si="5"/>
        <v>720000</v>
      </c>
      <c r="AC49" s="106">
        <f t="shared" si="6"/>
        <v>0</v>
      </c>
      <c r="AD49" s="106">
        <v>0</v>
      </c>
      <c r="AE49" s="108">
        <f t="shared" si="12"/>
        <v>6234230.769230769</v>
      </c>
      <c r="AF49" s="109">
        <v>557550</v>
      </c>
      <c r="AG49" s="106">
        <v>0</v>
      </c>
      <c r="AH49" s="106">
        <v>0</v>
      </c>
      <c r="AI49" s="109">
        <v>557550</v>
      </c>
      <c r="AJ49" s="106">
        <f t="shared" si="8"/>
        <v>1115100</v>
      </c>
      <c r="AK49" s="108">
        <f t="shared" si="10"/>
        <v>5119131</v>
      </c>
      <c r="AL49" s="110"/>
      <c r="AM49" s="111"/>
    </row>
    <row r="50" spans="1:39" ht="20.399999999999999" customHeight="1">
      <c r="A50" s="97">
        <f t="shared" si="0"/>
        <v>44</v>
      </c>
      <c r="B50" s="98">
        <v>8273</v>
      </c>
      <c r="C50" s="99" t="s">
        <v>61</v>
      </c>
      <c r="D50" s="100" t="s">
        <v>303</v>
      </c>
      <c r="E50" s="101">
        <v>45903</v>
      </c>
      <c r="F50" s="102">
        <v>26</v>
      </c>
      <c r="G50" s="103">
        <v>26</v>
      </c>
      <c r="H50" s="103">
        <f>IF(G50&gt;=F50,F50,G50)</f>
        <v>26</v>
      </c>
      <c r="I50" s="103">
        <f t="shared" si="1"/>
        <v>0</v>
      </c>
      <c r="J50" s="103">
        <v>0</v>
      </c>
      <c r="K50" s="104">
        <v>0</v>
      </c>
      <c r="L50" s="104">
        <v>0</v>
      </c>
      <c r="M50" s="103">
        <v>0</v>
      </c>
      <c r="N50" s="103">
        <v>0</v>
      </c>
      <c r="O50" s="103">
        <v>0</v>
      </c>
      <c r="P50" s="103">
        <v>0</v>
      </c>
      <c r="Q50" s="105"/>
      <c r="R50" s="106">
        <f>IF(D50="CT",G50*$R$61,G50*$R$62)</f>
        <v>5310000</v>
      </c>
      <c r="S50" s="106">
        <f>IF(D50="CT",I50*$S$61,I50*$S$62)</f>
        <v>0</v>
      </c>
      <c r="T50" s="106">
        <f>IF(D50="CT",K50*$T$61,K50*$T$62)</f>
        <v>0</v>
      </c>
      <c r="U50" s="106">
        <f>IF(D50="CT",L50*$U$61,0)</f>
        <v>0</v>
      </c>
      <c r="V50" s="106">
        <f>IF(D50="CT",M50*$V$61,M50*$V$62)</f>
        <v>0</v>
      </c>
      <c r="W50" s="102">
        <f t="shared" si="2"/>
        <v>0</v>
      </c>
      <c r="X50" s="107">
        <v>1350000</v>
      </c>
      <c r="Y50" s="106">
        <f t="shared" si="3"/>
        <v>0</v>
      </c>
      <c r="Z50" s="106">
        <f t="shared" si="11"/>
        <v>200000</v>
      </c>
      <c r="AA50" s="106">
        <f t="shared" si="13"/>
        <v>16000</v>
      </c>
      <c r="AB50" s="106">
        <f t="shared" si="5"/>
        <v>780000</v>
      </c>
      <c r="AC50" s="106">
        <f t="shared" si="6"/>
        <v>0</v>
      </c>
      <c r="AD50" s="106">
        <v>0</v>
      </c>
      <c r="AE50" s="108">
        <f t="shared" si="12"/>
        <v>7656000</v>
      </c>
      <c r="AF50" s="109">
        <v>557550</v>
      </c>
      <c r="AG50" s="106">
        <v>0</v>
      </c>
      <c r="AH50" s="106">
        <v>0</v>
      </c>
      <c r="AI50" s="102"/>
      <c r="AJ50" s="106">
        <f t="shared" si="8"/>
        <v>557550</v>
      </c>
      <c r="AK50" s="108">
        <f t="shared" si="10"/>
        <v>7098450</v>
      </c>
      <c r="AL50" s="110"/>
      <c r="AM50" s="111"/>
    </row>
    <row r="51" spans="1:39" ht="20.399999999999999" customHeight="1">
      <c r="A51" s="97">
        <f t="shared" si="0"/>
        <v>45</v>
      </c>
      <c r="B51" s="98">
        <v>8274</v>
      </c>
      <c r="C51" s="99" t="s">
        <v>65</v>
      </c>
      <c r="D51" s="100" t="s">
        <v>303</v>
      </c>
      <c r="E51" s="101">
        <v>45945</v>
      </c>
      <c r="F51" s="102">
        <v>26</v>
      </c>
      <c r="G51" s="103">
        <v>26</v>
      </c>
      <c r="H51" s="103">
        <f>IF(G51&gt;=F51,F51,G51)</f>
        <v>26</v>
      </c>
      <c r="I51" s="103">
        <f t="shared" si="1"/>
        <v>0</v>
      </c>
      <c r="J51" s="103">
        <v>0</v>
      </c>
      <c r="K51" s="104">
        <v>0</v>
      </c>
      <c r="L51" s="104">
        <v>0</v>
      </c>
      <c r="M51" s="103">
        <v>0</v>
      </c>
      <c r="N51" s="103">
        <v>0</v>
      </c>
      <c r="O51" s="103">
        <v>0</v>
      </c>
      <c r="P51" s="103">
        <v>0</v>
      </c>
      <c r="Q51" s="105"/>
      <c r="R51" s="106">
        <f>IF(D51="CT",G51*$R$61,G51*$R$62)</f>
        <v>5310000</v>
      </c>
      <c r="S51" s="106">
        <f>IF(D51="CT",I51*$S$61,I51*$S$62)</f>
        <v>0</v>
      </c>
      <c r="T51" s="106">
        <f>IF(D51="CT",K51*$T$61,K51*$T$62)</f>
        <v>0</v>
      </c>
      <c r="U51" s="106">
        <f>IF(D51="CT",L51*$U$61,0)</f>
        <v>0</v>
      </c>
      <c r="V51" s="106">
        <f>IF(D51="CT",M51*$V$61,M51*$V$62)</f>
        <v>0</v>
      </c>
      <c r="W51" s="102">
        <f t="shared" si="2"/>
        <v>0</v>
      </c>
      <c r="X51" s="107">
        <v>0</v>
      </c>
      <c r="Y51" s="106">
        <f t="shared" si="3"/>
        <v>0</v>
      </c>
      <c r="Z51" s="106">
        <f t="shared" si="11"/>
        <v>200000</v>
      </c>
      <c r="AA51" s="106">
        <f t="shared" si="13"/>
        <v>16000</v>
      </c>
      <c r="AB51" s="106">
        <f t="shared" si="5"/>
        <v>780000</v>
      </c>
      <c r="AC51" s="106">
        <f t="shared" si="6"/>
        <v>0</v>
      </c>
      <c r="AD51" s="106">
        <v>0</v>
      </c>
      <c r="AE51" s="108">
        <f t="shared" si="12"/>
        <v>6306000</v>
      </c>
      <c r="AF51" s="109">
        <v>557550</v>
      </c>
      <c r="AG51" s="106">
        <v>0</v>
      </c>
      <c r="AH51" s="106">
        <v>0</v>
      </c>
      <c r="AI51" s="102"/>
      <c r="AJ51" s="106">
        <f t="shared" si="8"/>
        <v>557550</v>
      </c>
      <c r="AK51" s="108">
        <f t="shared" si="10"/>
        <v>5748450</v>
      </c>
      <c r="AL51" s="110"/>
      <c r="AM51" s="111"/>
    </row>
    <row r="52" spans="1:39" ht="20.399999999999999" customHeight="1">
      <c r="A52" s="97">
        <f t="shared" si="0"/>
        <v>46</v>
      </c>
      <c r="B52" s="98">
        <v>8279</v>
      </c>
      <c r="C52" s="99" t="s">
        <v>59</v>
      </c>
      <c r="D52" s="100" t="s">
        <v>303</v>
      </c>
      <c r="E52" s="101">
        <v>45631</v>
      </c>
      <c r="F52" s="102">
        <v>26</v>
      </c>
      <c r="G52" s="103">
        <v>16</v>
      </c>
      <c r="H52" s="103">
        <f>IF(G52&gt;=F52,F52,G52)</f>
        <v>16</v>
      </c>
      <c r="I52" s="103">
        <f t="shared" si="1"/>
        <v>0</v>
      </c>
      <c r="J52" s="103">
        <v>0</v>
      </c>
      <c r="K52" s="104">
        <v>0</v>
      </c>
      <c r="L52" s="104">
        <v>0</v>
      </c>
      <c r="M52" s="103">
        <v>0</v>
      </c>
      <c r="N52" s="103">
        <v>0</v>
      </c>
      <c r="O52" s="103">
        <v>1</v>
      </c>
      <c r="P52" s="103">
        <v>0</v>
      </c>
      <c r="Q52" s="105"/>
      <c r="R52" s="106">
        <f>IF(D52="CT",G52*$R$61,G52*$R$62)</f>
        <v>3267692.3076923075</v>
      </c>
      <c r="S52" s="106">
        <f>IF(D52="CT",I52*$S$61,I52*$S$62)</f>
        <v>0</v>
      </c>
      <c r="T52" s="106">
        <f>IF(D52="CT",K52*$T$61,K52*$T$62)</f>
        <v>0</v>
      </c>
      <c r="U52" s="106">
        <f>IF(D52="CT",L52*$U$61,0)</f>
        <v>0</v>
      </c>
      <c r="V52" s="106">
        <f>IF(D52="CT",M52*$V$61,M52*$V$62)</f>
        <v>0</v>
      </c>
      <c r="W52" s="102">
        <f t="shared" si="2"/>
        <v>0</v>
      </c>
      <c r="X52" s="107">
        <v>0</v>
      </c>
      <c r="Y52" s="106">
        <f t="shared" si="3"/>
        <v>204230.76923076922</v>
      </c>
      <c r="Z52" s="106">
        <f t="shared" si="11"/>
        <v>0</v>
      </c>
      <c r="AA52" s="106">
        <f t="shared" si="13"/>
        <v>0</v>
      </c>
      <c r="AB52" s="106">
        <f t="shared" si="5"/>
        <v>480000</v>
      </c>
      <c r="AC52" s="106">
        <f t="shared" si="6"/>
        <v>0</v>
      </c>
      <c r="AD52" s="106">
        <v>0</v>
      </c>
      <c r="AE52" s="108">
        <f t="shared" si="12"/>
        <v>3951923.0769230765</v>
      </c>
      <c r="AF52" s="109">
        <v>557550</v>
      </c>
      <c r="AG52" s="106">
        <v>0</v>
      </c>
      <c r="AH52" s="106">
        <v>0</v>
      </c>
      <c r="AI52" s="102"/>
      <c r="AJ52" s="106">
        <f t="shared" si="8"/>
        <v>557550</v>
      </c>
      <c r="AK52" s="108">
        <f t="shared" si="10"/>
        <v>3394373</v>
      </c>
      <c r="AL52" s="110"/>
      <c r="AM52" s="111"/>
    </row>
    <row r="53" spans="1:39" ht="20.399999999999999" customHeight="1">
      <c r="A53" s="97">
        <f t="shared" si="0"/>
        <v>47</v>
      </c>
      <c r="B53" s="98">
        <v>8281</v>
      </c>
      <c r="C53" s="99" t="s">
        <v>55</v>
      </c>
      <c r="D53" s="100" t="s">
        <v>303</v>
      </c>
      <c r="E53" s="101">
        <v>46054</v>
      </c>
      <c r="F53" s="102">
        <v>26</v>
      </c>
      <c r="G53" s="103">
        <v>25</v>
      </c>
      <c r="H53" s="103">
        <f>IF(G53&gt;=F53,F53,G53)</f>
        <v>25</v>
      </c>
      <c r="I53" s="103">
        <f t="shared" si="1"/>
        <v>0</v>
      </c>
      <c r="J53" s="103">
        <v>0</v>
      </c>
      <c r="K53" s="104">
        <v>0</v>
      </c>
      <c r="L53" s="104">
        <v>0</v>
      </c>
      <c r="M53" s="103">
        <v>0</v>
      </c>
      <c r="N53" s="103">
        <v>0</v>
      </c>
      <c r="O53" s="103">
        <v>2</v>
      </c>
      <c r="P53" s="103">
        <v>0</v>
      </c>
      <c r="Q53" s="105"/>
      <c r="R53" s="106">
        <f>IF(D53="CT",G53*$R$61,G53*$R$62)</f>
        <v>5105769.2307692301</v>
      </c>
      <c r="S53" s="106">
        <f>IF(D53="CT",I53*$S$61,I53*$S$62)</f>
        <v>0</v>
      </c>
      <c r="T53" s="106">
        <f>IF(D53="CT",K53*$T$61,K53*$T$62)</f>
        <v>0</v>
      </c>
      <c r="U53" s="106">
        <f>IF(D53="CT",L53*$U$61,0)</f>
        <v>0</v>
      </c>
      <c r="V53" s="106">
        <f>IF(D53="CT",M53*$V$61,M53*$V$62)</f>
        <v>0</v>
      </c>
      <c r="W53" s="102">
        <f t="shared" si="2"/>
        <v>0</v>
      </c>
      <c r="X53" s="107">
        <v>0</v>
      </c>
      <c r="Y53" s="106">
        <f t="shared" si="3"/>
        <v>408461.53846153844</v>
      </c>
      <c r="Z53" s="106">
        <f t="shared" si="11"/>
        <v>0</v>
      </c>
      <c r="AA53" s="106">
        <f t="shared" si="13"/>
        <v>0</v>
      </c>
      <c r="AB53" s="106">
        <f t="shared" si="5"/>
        <v>750000</v>
      </c>
      <c r="AC53" s="106">
        <f t="shared" si="6"/>
        <v>0</v>
      </c>
      <c r="AD53" s="106">
        <v>0</v>
      </c>
      <c r="AE53" s="108">
        <f t="shared" si="12"/>
        <v>6264230.7692307681</v>
      </c>
      <c r="AF53" s="109">
        <v>557550</v>
      </c>
      <c r="AG53" s="106">
        <v>0</v>
      </c>
      <c r="AH53" s="106">
        <v>0</v>
      </c>
      <c r="AI53" s="102"/>
      <c r="AJ53" s="106">
        <f t="shared" si="8"/>
        <v>557550</v>
      </c>
      <c r="AK53" s="108">
        <f t="shared" si="10"/>
        <v>5706681</v>
      </c>
      <c r="AL53" s="110"/>
      <c r="AM53" s="111"/>
    </row>
    <row r="54" spans="1:39" ht="20.399999999999999" customHeight="1">
      <c r="A54" s="97">
        <f t="shared" si="0"/>
        <v>48</v>
      </c>
      <c r="B54" s="98">
        <v>8283</v>
      </c>
      <c r="C54" s="99" t="s">
        <v>56</v>
      </c>
      <c r="D54" s="100" t="s">
        <v>303</v>
      </c>
      <c r="E54" s="101">
        <v>46054</v>
      </c>
      <c r="F54" s="102">
        <v>26</v>
      </c>
      <c r="G54" s="103">
        <v>31</v>
      </c>
      <c r="H54" s="103">
        <f>IF(G54&gt;=F54,F54,G54)</f>
        <v>26</v>
      </c>
      <c r="I54" s="103">
        <f t="shared" si="1"/>
        <v>5</v>
      </c>
      <c r="J54" s="103">
        <v>0</v>
      </c>
      <c r="K54" s="104">
        <v>0</v>
      </c>
      <c r="L54" s="104">
        <v>0</v>
      </c>
      <c r="M54" s="103">
        <v>11</v>
      </c>
      <c r="N54" s="103">
        <v>0</v>
      </c>
      <c r="O54" s="103">
        <v>0</v>
      </c>
      <c r="P54" s="103">
        <v>0</v>
      </c>
      <c r="Q54" s="105"/>
      <c r="R54" s="106">
        <f>IF(D54="CT",G54*$R$61,G54*$R$62)</f>
        <v>6331153.846153846</v>
      </c>
      <c r="S54" s="106">
        <f>IF(D54="CT",I54*$S$61,I54*$S$62)</f>
        <v>510576.92307692306</v>
      </c>
      <c r="T54" s="106">
        <f>IF(D54="CT",K54*$T$61,K54*$T$62)</f>
        <v>0</v>
      </c>
      <c r="U54" s="106">
        <f>IF(D54="CT",L54*$U$61,0)</f>
        <v>0</v>
      </c>
      <c r="V54" s="106">
        <f>IF(D54="CT",M54*$V$61,M54*$V$62)</f>
        <v>673961.53846153838</v>
      </c>
      <c r="W54" s="102">
        <f t="shared" si="2"/>
        <v>0</v>
      </c>
      <c r="X54" s="107">
        <v>0</v>
      </c>
      <c r="Y54" s="106">
        <f t="shared" si="3"/>
        <v>0</v>
      </c>
      <c r="Z54" s="106">
        <f t="shared" si="11"/>
        <v>200000</v>
      </c>
      <c r="AA54" s="106">
        <f t="shared" si="13"/>
        <v>96000</v>
      </c>
      <c r="AB54" s="106">
        <f t="shared" si="5"/>
        <v>780000</v>
      </c>
      <c r="AC54" s="106">
        <f t="shared" si="6"/>
        <v>0</v>
      </c>
      <c r="AD54" s="106">
        <v>0</v>
      </c>
      <c r="AE54" s="108">
        <f t="shared" si="12"/>
        <v>8591692.307692308</v>
      </c>
      <c r="AF54" s="109">
        <v>557550</v>
      </c>
      <c r="AG54" s="106">
        <v>0</v>
      </c>
      <c r="AH54" s="106">
        <v>0</v>
      </c>
      <c r="AI54" s="102"/>
      <c r="AJ54" s="106">
        <f t="shared" si="8"/>
        <v>557550</v>
      </c>
      <c r="AK54" s="108">
        <f t="shared" si="10"/>
        <v>8034142</v>
      </c>
      <c r="AL54" s="110"/>
      <c r="AM54" s="111"/>
    </row>
    <row r="55" spans="1:39" ht="20.399999999999999" customHeight="1">
      <c r="A55" s="97">
        <f t="shared" si="0"/>
        <v>49</v>
      </c>
      <c r="B55" s="98">
        <v>8288</v>
      </c>
      <c r="C55" s="99" t="s">
        <v>64</v>
      </c>
      <c r="D55" s="100" t="s">
        <v>303</v>
      </c>
      <c r="E55" s="101">
        <v>45597</v>
      </c>
      <c r="F55" s="102">
        <v>26</v>
      </c>
      <c r="G55" s="103">
        <v>26</v>
      </c>
      <c r="H55" s="103">
        <f>IF(G55&gt;=F55,F55,G55)</f>
        <v>26</v>
      </c>
      <c r="I55" s="103">
        <f t="shared" si="1"/>
        <v>0</v>
      </c>
      <c r="J55" s="103">
        <v>0</v>
      </c>
      <c r="K55" s="104">
        <v>0</v>
      </c>
      <c r="L55" s="104">
        <v>0</v>
      </c>
      <c r="M55" s="103">
        <v>0</v>
      </c>
      <c r="N55" s="103">
        <v>0</v>
      </c>
      <c r="O55" s="103">
        <v>1</v>
      </c>
      <c r="P55" s="103">
        <v>0</v>
      </c>
      <c r="Q55" s="105"/>
      <c r="R55" s="106">
        <f>IF(D55="CT",G55*$R$61,G55*$R$62)</f>
        <v>5310000</v>
      </c>
      <c r="S55" s="106">
        <f>IF(D55="CT",I55*$S$61,I55*$S$62)</f>
        <v>0</v>
      </c>
      <c r="T55" s="106">
        <f>IF(D55="CT",K55*$T$61,K55*$T$62)</f>
        <v>0</v>
      </c>
      <c r="U55" s="106">
        <f>IF(D55="CT",L55*$U$61,0)</f>
        <v>0</v>
      </c>
      <c r="V55" s="106">
        <f>IF(D55="CT",M55*$V$61,M55*$V$62)</f>
        <v>0</v>
      </c>
      <c r="W55" s="102">
        <f t="shared" si="2"/>
        <v>0</v>
      </c>
      <c r="X55" s="107">
        <v>1350000</v>
      </c>
      <c r="Y55" s="106">
        <f t="shared" si="3"/>
        <v>204230.76923076922</v>
      </c>
      <c r="Z55" s="106">
        <f t="shared" si="11"/>
        <v>200000</v>
      </c>
      <c r="AA55" s="106">
        <f t="shared" si="13"/>
        <v>16000</v>
      </c>
      <c r="AB55" s="106">
        <f t="shared" si="5"/>
        <v>780000</v>
      </c>
      <c r="AC55" s="106">
        <f t="shared" si="6"/>
        <v>0</v>
      </c>
      <c r="AD55" s="106">
        <v>0</v>
      </c>
      <c r="AE55" s="108">
        <f t="shared" si="12"/>
        <v>7860230.769230769</v>
      </c>
      <c r="AF55" s="109">
        <v>557550</v>
      </c>
      <c r="AG55" s="106">
        <v>0</v>
      </c>
      <c r="AH55" s="106">
        <v>0</v>
      </c>
      <c r="AI55" s="102"/>
      <c r="AJ55" s="106">
        <f t="shared" si="8"/>
        <v>557550</v>
      </c>
      <c r="AK55" s="108">
        <f t="shared" si="10"/>
        <v>7302681</v>
      </c>
      <c r="AL55" s="110"/>
      <c r="AM55" s="111"/>
    </row>
    <row r="56" spans="1:39" ht="20.399999999999999" customHeight="1">
      <c r="A56" s="97">
        <f t="shared" si="0"/>
        <v>50</v>
      </c>
      <c r="B56" s="98">
        <v>8292</v>
      </c>
      <c r="C56" s="99" t="s">
        <v>43</v>
      </c>
      <c r="D56" s="100" t="s">
        <v>303</v>
      </c>
      <c r="E56" s="101">
        <v>45884</v>
      </c>
      <c r="F56" s="102">
        <v>26</v>
      </c>
      <c r="G56" s="103">
        <v>31</v>
      </c>
      <c r="H56" s="103">
        <f>IF(G56&gt;=F56,F56,G56)</f>
        <v>26</v>
      </c>
      <c r="I56" s="103">
        <f t="shared" si="1"/>
        <v>5</v>
      </c>
      <c r="J56" s="103">
        <v>0</v>
      </c>
      <c r="K56" s="104">
        <v>0</v>
      </c>
      <c r="L56" s="104">
        <v>0</v>
      </c>
      <c r="M56" s="103">
        <v>19</v>
      </c>
      <c r="N56" s="103">
        <v>0</v>
      </c>
      <c r="O56" s="103">
        <v>2</v>
      </c>
      <c r="P56" s="103">
        <v>0</v>
      </c>
      <c r="Q56" s="105"/>
      <c r="R56" s="106">
        <f>IF(D56="CT",G56*$R$61,G56*$R$62)</f>
        <v>6331153.846153846</v>
      </c>
      <c r="S56" s="106">
        <f>IF(D56="CT",I56*$S$61,I56*$S$62)</f>
        <v>510576.92307692306</v>
      </c>
      <c r="T56" s="106">
        <f>IF(D56="CT",K56*$T$61,K56*$T$62)</f>
        <v>0</v>
      </c>
      <c r="U56" s="106">
        <f>IF(D56="CT",L56*$U$61,0)</f>
        <v>0</v>
      </c>
      <c r="V56" s="106">
        <f>IF(D56="CT",M56*$V$61,M56*$V$62)</f>
        <v>1164115.3846153845</v>
      </c>
      <c r="W56" s="163">
        <f t="shared" si="2"/>
        <v>0</v>
      </c>
      <c r="X56" s="107">
        <v>0</v>
      </c>
      <c r="Y56" s="106">
        <f t="shared" si="3"/>
        <v>408461.53846153844</v>
      </c>
      <c r="Z56" s="106">
        <f t="shared" si="11"/>
        <v>200000</v>
      </c>
      <c r="AA56" s="106">
        <f t="shared" si="13"/>
        <v>96000</v>
      </c>
      <c r="AB56" s="106">
        <f t="shared" si="5"/>
        <v>780000</v>
      </c>
      <c r="AC56" s="106">
        <f t="shared" si="6"/>
        <v>0</v>
      </c>
      <c r="AD56" s="106">
        <v>0</v>
      </c>
      <c r="AE56" s="108">
        <f t="shared" si="12"/>
        <v>9490307.692307692</v>
      </c>
      <c r="AF56" s="109">
        <v>557550</v>
      </c>
      <c r="AG56" s="106">
        <v>0</v>
      </c>
      <c r="AH56" s="106">
        <v>0</v>
      </c>
      <c r="AI56" s="102"/>
      <c r="AJ56" s="106">
        <f t="shared" si="8"/>
        <v>557550</v>
      </c>
      <c r="AK56" s="108">
        <f t="shared" si="10"/>
        <v>8932758</v>
      </c>
      <c r="AL56" s="114"/>
      <c r="AM56" s="115"/>
    </row>
    <row r="57" spans="1:39" ht="20.399999999999999" customHeight="1">
      <c r="A57" s="97">
        <f t="shared" si="0"/>
        <v>51</v>
      </c>
      <c r="B57" s="98">
        <v>8312</v>
      </c>
      <c r="C57" s="99" t="s">
        <v>255</v>
      </c>
      <c r="D57" s="100" t="s">
        <v>303</v>
      </c>
      <c r="E57" s="101">
        <v>46113</v>
      </c>
      <c r="F57" s="102">
        <v>26</v>
      </c>
      <c r="G57" s="103">
        <v>26</v>
      </c>
      <c r="H57" s="103">
        <f>IF(G57&gt;=F57,F57,G57)</f>
        <v>26</v>
      </c>
      <c r="I57" s="103">
        <f t="shared" si="1"/>
        <v>0</v>
      </c>
      <c r="J57" s="103">
        <v>0</v>
      </c>
      <c r="K57" s="104">
        <v>0</v>
      </c>
      <c r="L57" s="104">
        <v>0</v>
      </c>
      <c r="M57" s="103">
        <v>0</v>
      </c>
      <c r="N57" s="103">
        <v>0</v>
      </c>
      <c r="O57" s="103">
        <v>0</v>
      </c>
      <c r="P57" s="103">
        <v>0</v>
      </c>
      <c r="Q57" s="105"/>
      <c r="R57" s="106">
        <f>IF(D57="CT",G57*$R$61,G57*$R$62)</f>
        <v>5310000</v>
      </c>
      <c r="S57" s="106">
        <f>IF(D57="CT",I57*$S$61,I57*$S$62)</f>
        <v>0</v>
      </c>
      <c r="T57" s="106">
        <f>IF(D57="CT",K57*$T$61,K57*$T$62)</f>
        <v>0</v>
      </c>
      <c r="U57" s="106">
        <f>IF(D57="CT",L57*$U$61,0)</f>
        <v>0</v>
      </c>
      <c r="V57" s="106">
        <f>IF(D57="CT",M57*$V$61,M57*$V$62)</f>
        <v>0</v>
      </c>
      <c r="W57" s="102">
        <f t="shared" si="2"/>
        <v>0</v>
      </c>
      <c r="X57" s="107">
        <v>0</v>
      </c>
      <c r="Y57" s="106">
        <f t="shared" si="3"/>
        <v>0</v>
      </c>
      <c r="Z57" s="106">
        <f t="shared" si="11"/>
        <v>200000</v>
      </c>
      <c r="AA57" s="106">
        <f t="shared" si="13"/>
        <v>16000</v>
      </c>
      <c r="AB57" s="106">
        <f t="shared" si="5"/>
        <v>780000</v>
      </c>
      <c r="AC57" s="106">
        <f t="shared" si="6"/>
        <v>0</v>
      </c>
      <c r="AD57" s="106">
        <v>0</v>
      </c>
      <c r="AE57" s="108">
        <f t="shared" si="12"/>
        <v>6306000</v>
      </c>
      <c r="AF57" s="109">
        <v>0</v>
      </c>
      <c r="AG57" s="106">
        <v>0</v>
      </c>
      <c r="AH57" s="106">
        <v>0</v>
      </c>
      <c r="AI57" s="102">
        <v>750000</v>
      </c>
      <c r="AJ57" s="106">
        <f t="shared" si="8"/>
        <v>750000</v>
      </c>
      <c r="AK57" s="108">
        <f t="shared" si="10"/>
        <v>5556000</v>
      </c>
      <c r="AL57" s="116"/>
      <c r="AM57" s="117"/>
    </row>
    <row r="58" spans="1:39" ht="20.399999999999999" customHeight="1">
      <c r="A58" s="97">
        <f t="shared" si="0"/>
        <v>52</v>
      </c>
      <c r="B58" s="98">
        <v>8328</v>
      </c>
      <c r="C58" s="99" t="s">
        <v>552</v>
      </c>
      <c r="D58" s="100" t="s">
        <v>306</v>
      </c>
      <c r="E58" s="101">
        <v>46174</v>
      </c>
      <c r="F58" s="102">
        <v>26</v>
      </c>
      <c r="G58" s="103">
        <v>11</v>
      </c>
      <c r="H58" s="103">
        <f>IF(G58&gt;=F58,F58,G58)</f>
        <v>11</v>
      </c>
      <c r="I58" s="103">
        <f t="shared" si="1"/>
        <v>0</v>
      </c>
      <c r="J58" s="103">
        <v>0</v>
      </c>
      <c r="K58" s="104">
        <v>0</v>
      </c>
      <c r="L58" s="104">
        <v>0</v>
      </c>
      <c r="M58" s="103">
        <v>11</v>
      </c>
      <c r="N58" s="103">
        <v>0</v>
      </c>
      <c r="O58" s="103">
        <v>0</v>
      </c>
      <c r="P58" s="103">
        <v>0</v>
      </c>
      <c r="Q58" s="105"/>
      <c r="R58" s="106">
        <f>IF(D58="CT",G58*$R$61,G58*$R$62)</f>
        <v>1909557.6923076923</v>
      </c>
      <c r="S58" s="106">
        <f>IF(D58="CT",I58*$S$61,I58*$S$62)</f>
        <v>0</v>
      </c>
      <c r="T58" s="106">
        <f>IF(D58="CT",K58*$T$61,K58*$T$62)</f>
        <v>0</v>
      </c>
      <c r="U58" s="106">
        <f>IF(D58="CT",L58*$U$61,0)</f>
        <v>0</v>
      </c>
      <c r="V58" s="106">
        <f>IF(D58="CT",M58*$V$61,M58*$V$62)</f>
        <v>572867.30769230763</v>
      </c>
      <c r="W58" s="102">
        <f t="shared" si="2"/>
        <v>0</v>
      </c>
      <c r="X58" s="107">
        <v>1</v>
      </c>
      <c r="Y58" s="106">
        <f t="shared" si="3"/>
        <v>0</v>
      </c>
      <c r="Z58" s="106">
        <f t="shared" si="11"/>
        <v>0</v>
      </c>
      <c r="AA58" s="106">
        <f t="shared" si="13"/>
        <v>0</v>
      </c>
      <c r="AB58" s="106">
        <f t="shared" si="5"/>
        <v>330000</v>
      </c>
      <c r="AC58" s="106">
        <f t="shared" si="6"/>
        <v>0</v>
      </c>
      <c r="AD58" s="106">
        <v>1</v>
      </c>
      <c r="AE58" s="108">
        <f t="shared" ref="AE58" si="14">SUM(Q58:AD58)</f>
        <v>2812427</v>
      </c>
      <c r="AF58" s="109">
        <v>0</v>
      </c>
      <c r="AG58" s="106">
        <v>0</v>
      </c>
      <c r="AH58" s="106">
        <v>0</v>
      </c>
      <c r="AI58" s="102">
        <v>0</v>
      </c>
      <c r="AJ58" s="106">
        <f t="shared" si="8"/>
        <v>0</v>
      </c>
      <c r="AK58" s="108">
        <f t="shared" si="10"/>
        <v>2812427</v>
      </c>
      <c r="AL58" s="116"/>
      <c r="AM58" s="117"/>
    </row>
    <row r="59" spans="1:39" ht="18" customHeight="1">
      <c r="A59" s="118"/>
      <c r="B59" s="119"/>
      <c r="C59" s="120"/>
      <c r="D59" s="121"/>
      <c r="E59" s="122"/>
      <c r="F59" s="123">
        <f t="shared" ref="F59:AK59" si="15">SUM(F7:F58)</f>
        <v>1352</v>
      </c>
      <c r="G59" s="123">
        <f t="shared" si="15"/>
        <v>1246.125</v>
      </c>
      <c r="H59" s="123">
        <f t="shared" si="15"/>
        <v>1182.625</v>
      </c>
      <c r="I59" s="123">
        <f t="shared" si="15"/>
        <v>63.5</v>
      </c>
      <c r="J59" s="123">
        <f t="shared" si="15"/>
        <v>0</v>
      </c>
      <c r="K59" s="123">
        <f t="shared" si="15"/>
        <v>0</v>
      </c>
      <c r="L59" s="123">
        <f t="shared" si="15"/>
        <v>0</v>
      </c>
      <c r="M59" s="123">
        <f t="shared" si="15"/>
        <v>207</v>
      </c>
      <c r="N59" s="123">
        <f t="shared" si="15"/>
        <v>0</v>
      </c>
      <c r="O59" s="123">
        <f t="shared" si="15"/>
        <v>33</v>
      </c>
      <c r="P59" s="123">
        <f t="shared" si="15"/>
        <v>25</v>
      </c>
      <c r="Q59" s="123">
        <f t="shared" si="15"/>
        <v>4500000</v>
      </c>
      <c r="R59" s="123">
        <f t="shared" si="15"/>
        <v>245827471.1538462</v>
      </c>
      <c r="S59" s="123">
        <f t="shared" si="15"/>
        <v>6338812.4999999991</v>
      </c>
      <c r="T59" s="123">
        <f t="shared" si="15"/>
        <v>0</v>
      </c>
      <c r="U59" s="123">
        <f t="shared" si="15"/>
        <v>0</v>
      </c>
      <c r="V59" s="123">
        <f t="shared" si="15"/>
        <v>12342686.538461538</v>
      </c>
      <c r="W59" s="123">
        <f t="shared" si="15"/>
        <v>0</v>
      </c>
      <c r="X59" s="123">
        <f t="shared" si="15"/>
        <v>8250001</v>
      </c>
      <c r="Y59" s="123">
        <f t="shared" si="15"/>
        <v>6739615.3846153822</v>
      </c>
      <c r="Z59" s="123">
        <f t="shared" si="15"/>
        <v>5200000</v>
      </c>
      <c r="AA59" s="123">
        <f t="shared" si="15"/>
        <v>1440000</v>
      </c>
      <c r="AB59" s="123">
        <f t="shared" si="15"/>
        <v>35478750</v>
      </c>
      <c r="AC59" s="123">
        <f t="shared" si="15"/>
        <v>1250000</v>
      </c>
      <c r="AD59" s="123">
        <f t="shared" si="15"/>
        <v>1</v>
      </c>
      <c r="AE59" s="123">
        <f t="shared" si="15"/>
        <v>327367337.57692307</v>
      </c>
      <c r="AF59" s="123">
        <f t="shared" si="15"/>
        <v>15611400</v>
      </c>
      <c r="AG59" s="123">
        <f t="shared" si="15"/>
        <v>0</v>
      </c>
      <c r="AH59" s="123">
        <f t="shared" si="15"/>
        <v>0</v>
      </c>
      <c r="AI59" s="123">
        <f t="shared" si="15"/>
        <v>8807550</v>
      </c>
      <c r="AJ59" s="123">
        <f t="shared" si="15"/>
        <v>24418950</v>
      </c>
      <c r="AK59" s="123">
        <f t="shared" si="15"/>
        <v>302948390</v>
      </c>
      <c r="AL59" s="124"/>
      <c r="AM59" s="125"/>
    </row>
    <row r="60" spans="1:39">
      <c r="A60" s="83"/>
      <c r="B60" s="83"/>
      <c r="C60" s="84"/>
      <c r="D60" s="126"/>
      <c r="E60" s="127"/>
      <c r="F60" s="83"/>
      <c r="G60" s="83"/>
      <c r="H60" s="83"/>
      <c r="I60" s="83"/>
      <c r="J60" s="83"/>
      <c r="K60" s="85"/>
      <c r="L60" s="85"/>
      <c r="M60" s="83"/>
      <c r="N60" s="83"/>
      <c r="O60" s="83"/>
      <c r="P60" s="83" t="s">
        <v>262</v>
      </c>
      <c r="Q60" s="83"/>
      <c r="R60" s="83"/>
      <c r="S60" s="128"/>
      <c r="T60" s="83"/>
      <c r="U60" s="83"/>
      <c r="V60" s="83"/>
      <c r="W60" s="83"/>
      <c r="X60" s="85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129"/>
      <c r="AL60" s="67"/>
      <c r="AM60" s="67"/>
    </row>
    <row r="61" spans="1:39">
      <c r="A61" s="46"/>
      <c r="B61" s="46"/>
      <c r="C61" s="130" t="s">
        <v>312</v>
      </c>
      <c r="D61" s="131">
        <v>26</v>
      </c>
      <c r="E61" s="132">
        <v>5310000</v>
      </c>
      <c r="F61" s="133"/>
      <c r="G61" s="46"/>
      <c r="H61" s="46"/>
      <c r="I61" s="46"/>
      <c r="J61" s="46"/>
      <c r="K61" s="64"/>
      <c r="L61" s="64"/>
      <c r="M61" s="46"/>
      <c r="N61" s="46"/>
      <c r="O61" s="46"/>
      <c r="P61" s="46"/>
      <c r="Q61" s="46"/>
      <c r="R61" s="134">
        <f>E61/D61</f>
        <v>204230.76923076922</v>
      </c>
      <c r="S61" s="135">
        <f>R61*50%</f>
        <v>102115.38461538461</v>
      </c>
      <c r="T61" s="135">
        <f>R61*300%</f>
        <v>612692.30769230763</v>
      </c>
      <c r="U61" s="134">
        <f>R61</f>
        <v>204230.76923076922</v>
      </c>
      <c r="V61" s="135">
        <f>R61*30%</f>
        <v>61269.230769230766</v>
      </c>
      <c r="W61" s="136">
        <f>E61/26</f>
        <v>204230.76923076922</v>
      </c>
      <c r="X61" s="137"/>
      <c r="Y61" s="138">
        <f>E61/26</f>
        <v>204230.76923076922</v>
      </c>
      <c r="Z61" s="138">
        <v>200000</v>
      </c>
      <c r="AA61" s="137">
        <v>16000</v>
      </c>
      <c r="AB61" s="137">
        <v>30000</v>
      </c>
      <c r="AC61" s="138"/>
      <c r="AD61" s="138"/>
      <c r="AE61" s="46"/>
      <c r="AF61" s="139">
        <f>E61*10.5%</f>
        <v>557550</v>
      </c>
      <c r="AK61" s="141"/>
      <c r="AL61" s="67"/>
      <c r="AM61" s="67"/>
    </row>
    <row r="62" spans="1:39">
      <c r="A62" s="46"/>
      <c r="B62" s="46"/>
      <c r="C62" s="130" t="s">
        <v>313</v>
      </c>
      <c r="D62" s="142"/>
      <c r="E62" s="132">
        <f>E61*0.85</f>
        <v>4513500</v>
      </c>
      <c r="F62" s="46"/>
      <c r="G62" s="46"/>
      <c r="H62" s="46"/>
      <c r="I62" s="46"/>
      <c r="J62" s="46"/>
      <c r="K62" s="64"/>
      <c r="L62" s="64"/>
      <c r="M62" s="46"/>
      <c r="N62" s="46"/>
      <c r="O62" s="46"/>
      <c r="P62" s="46"/>
      <c r="Q62" s="46"/>
      <c r="R62" s="143">
        <f>R61*0.85</f>
        <v>173596.15384615384</v>
      </c>
      <c r="S62" s="135">
        <f>R62*50%</f>
        <v>86798.076923076922</v>
      </c>
      <c r="T62" s="135">
        <f>R62*300%</f>
        <v>520788.4615384615</v>
      </c>
      <c r="U62" s="134">
        <f>R62</f>
        <v>173596.15384615384</v>
      </c>
      <c r="V62" s="135">
        <f>R62*30%</f>
        <v>52078.846153846149</v>
      </c>
      <c r="W62" s="136"/>
      <c r="X62" s="137"/>
      <c r="Y62" s="138"/>
      <c r="Z62" s="138"/>
      <c r="AA62" s="137"/>
      <c r="AB62" s="137"/>
      <c r="AC62" s="138"/>
      <c r="AD62" s="138"/>
      <c r="AE62" s="46"/>
      <c r="AF62" s="46"/>
      <c r="AG62" s="46"/>
      <c r="AH62" s="46"/>
      <c r="AI62" s="65"/>
      <c r="AJ62" s="46"/>
      <c r="AK62" s="46"/>
      <c r="AL62" s="67"/>
      <c r="AM62" s="67"/>
    </row>
    <row r="63" spans="1:39">
      <c r="A63" s="46"/>
      <c r="B63" s="46"/>
      <c r="C63" s="63"/>
      <c r="D63" s="38"/>
      <c r="E63" s="80"/>
      <c r="F63" s="46"/>
      <c r="G63" s="46"/>
      <c r="H63" s="46"/>
      <c r="I63" s="46"/>
      <c r="J63" s="46"/>
      <c r="K63" s="64"/>
      <c r="L63" s="64"/>
      <c r="M63" s="46"/>
      <c r="N63" s="46"/>
      <c r="R63" s="144"/>
      <c r="W63" s="136"/>
      <c r="X63" s="137"/>
      <c r="Y63" s="138"/>
      <c r="Z63" s="138"/>
      <c r="AA63" s="137"/>
      <c r="AB63" s="137">
        <f>24*35000</f>
        <v>840000</v>
      </c>
      <c r="AC63" s="138"/>
      <c r="AD63" s="138"/>
      <c r="AE63" s="46"/>
      <c r="AF63" s="46"/>
      <c r="AG63" s="46"/>
      <c r="AH63" s="46"/>
      <c r="AI63" s="65"/>
      <c r="AJ63" s="46"/>
      <c r="AK63" s="46"/>
      <c r="AL63" s="67"/>
      <c r="AM63" s="67"/>
    </row>
    <row r="64" spans="1:39">
      <c r="A64" s="46"/>
      <c r="B64" s="46"/>
      <c r="C64" s="63"/>
      <c r="D64" s="38"/>
      <c r="E64" s="80"/>
      <c r="F64" s="46"/>
      <c r="G64" s="46"/>
      <c r="H64" s="46"/>
      <c r="I64" s="46"/>
      <c r="J64" s="46"/>
      <c r="K64" s="64"/>
      <c r="L64" s="64"/>
      <c r="M64" s="46"/>
      <c r="N64" s="46"/>
      <c r="Q64" s="145"/>
      <c r="W64" s="65"/>
      <c r="X64" s="64"/>
      <c r="Y64" s="46"/>
      <c r="Z64" s="46"/>
      <c r="AA64" s="64"/>
      <c r="AB64" s="64"/>
      <c r="AC64" s="46"/>
      <c r="AD64" s="46"/>
      <c r="AE64" s="46"/>
      <c r="AF64" s="46"/>
      <c r="AG64" s="46"/>
      <c r="AH64" s="46"/>
      <c r="AI64" s="65"/>
      <c r="AJ64" s="46"/>
      <c r="AK64" s="46"/>
      <c r="AL64" s="67"/>
      <c r="AM64" s="67"/>
    </row>
    <row r="65" spans="1:39">
      <c r="A65" s="46"/>
      <c r="B65" s="46"/>
      <c r="C65" s="63"/>
      <c r="D65" s="38"/>
      <c r="E65" s="80"/>
      <c r="F65" s="46"/>
      <c r="G65" s="46"/>
      <c r="H65" s="46"/>
      <c r="I65" s="46"/>
      <c r="J65" s="46"/>
      <c r="K65" s="64"/>
      <c r="L65" s="64"/>
      <c r="M65" s="46"/>
      <c r="N65" s="46"/>
      <c r="W65" s="65"/>
      <c r="X65" s="64"/>
      <c r="Y65" s="46"/>
      <c r="Z65" s="46"/>
      <c r="AA65" s="46"/>
      <c r="AB65" s="46"/>
      <c r="AC65" s="316" t="s">
        <v>314</v>
      </c>
      <c r="AD65" s="316"/>
      <c r="AE65" s="316"/>
      <c r="AF65" s="46"/>
      <c r="AG65" s="46"/>
      <c r="AH65" s="46"/>
      <c r="AI65" s="65"/>
      <c r="AJ65" s="46"/>
      <c r="AK65" s="46"/>
      <c r="AL65" s="67"/>
      <c r="AM65" s="67"/>
    </row>
    <row r="66" spans="1:39">
      <c r="A66" s="46"/>
      <c r="B66" s="46"/>
      <c r="C66" s="63"/>
      <c r="D66" s="38"/>
      <c r="E66" s="80"/>
      <c r="F66" s="46"/>
      <c r="G66" s="46"/>
      <c r="H66" s="46"/>
      <c r="I66" s="46"/>
      <c r="J66" s="46"/>
      <c r="K66" s="64"/>
      <c r="L66" s="64"/>
      <c r="M66" s="46"/>
      <c r="N66" s="46"/>
      <c r="S66" s="146">
        <f>R61+S61</f>
        <v>306346.15384615381</v>
      </c>
      <c r="V66" s="147">
        <f>R61+V61</f>
        <v>265500</v>
      </c>
      <c r="W66" s="65"/>
      <c r="X66" s="64"/>
      <c r="Y66" s="46"/>
      <c r="Z66" s="46"/>
      <c r="AA66" s="46"/>
      <c r="AB66" s="46"/>
      <c r="AC66" s="316" t="s">
        <v>315</v>
      </c>
      <c r="AD66" s="316"/>
      <c r="AE66" s="316"/>
      <c r="AF66" s="46"/>
      <c r="AG66" s="46"/>
      <c r="AH66" s="46"/>
      <c r="AI66" s="65"/>
      <c r="AJ66" s="46"/>
      <c r="AK66" s="46"/>
      <c r="AL66" s="67"/>
      <c r="AM66" s="67"/>
    </row>
    <row r="67" spans="1:39">
      <c r="AC67" s="81" t="s">
        <v>316</v>
      </c>
      <c r="AE67" s="81">
        <v>6236000</v>
      </c>
    </row>
    <row r="68" spans="1:39">
      <c r="AC68" s="81" t="s">
        <v>317</v>
      </c>
      <c r="AE68" s="81">
        <v>5678450</v>
      </c>
    </row>
    <row r="69" spans="1:39">
      <c r="R69" s="146"/>
    </row>
    <row r="70" spans="1:39">
      <c r="AL70" s="81">
        <f>55/2</f>
        <v>27.5</v>
      </c>
    </row>
    <row r="88" spans="18:22">
      <c r="R88" s="145"/>
    </row>
    <row r="94" spans="18:22">
      <c r="V94" s="145"/>
    </row>
  </sheetData>
  <mergeCells count="4">
    <mergeCell ref="G4:H4"/>
    <mergeCell ref="J4:K4"/>
    <mergeCell ref="AC65:AE65"/>
    <mergeCell ref="AC66:AE66"/>
  </mergeCells>
  <conditionalFormatting sqref="G7:AK58">
    <cfRule type="cellIs" dxfId="12" priority="5" operator="equal">
      <formula>0</formula>
    </cfRule>
  </conditionalFormatting>
  <conditionalFormatting sqref="F59:AK59 G7:AI58">
    <cfRule type="cellIs" dxfId="11" priority="4" operator="equal">
      <formula>0</formula>
    </cfRule>
  </conditionalFormatting>
  <conditionalFormatting sqref="Q60:Q1048576 Q1:Q58">
    <cfRule type="cellIs" dxfId="10" priority="3" operator="lessThan">
      <formula>0</formula>
    </cfRule>
  </conditionalFormatting>
  <conditionalFormatting sqref="D7:D59">
    <cfRule type="cellIs" dxfId="9" priority="2" operator="equal">
      <formula>"TV"</formula>
    </cfRule>
  </conditionalFormatting>
  <conditionalFormatting sqref="C7">
    <cfRule type="duplicateValues" dxfId="8" priority="6"/>
  </conditionalFormatting>
  <conditionalFormatting sqref="C57:C59">
    <cfRule type="duplicateValues" dxfId="7" priority="7"/>
  </conditionalFormatting>
  <conditionalFormatting sqref="C8:C56">
    <cfRule type="duplicateValues" dxfId="6" priority="8"/>
  </conditionalFormatting>
  <conditionalFormatting sqref="C7:C59">
    <cfRule type="duplicateValues" dxfId="5" priority="9"/>
  </conditionalFormatting>
  <conditionalFormatting sqref="C1:C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53"/>
  <sheetViews>
    <sheetView topLeftCell="A41" zoomScale="85" zoomScaleNormal="85" workbookViewId="0">
      <selection activeCell="G66" sqref="G66"/>
    </sheetView>
  </sheetViews>
  <sheetFormatPr defaultRowHeight="14.4"/>
  <cols>
    <col min="1" max="1" width="5.88671875" bestFit="1" customWidth="1"/>
    <col min="2" max="2" width="26.88671875" style="158" bestFit="1" customWidth="1"/>
    <col min="3" max="3" width="10.109375" bestFit="1" customWidth="1"/>
    <col min="4" max="4" width="12.21875" bestFit="1" customWidth="1"/>
    <col min="5" max="5" width="13.109375" style="157" bestFit="1" customWidth="1"/>
    <col min="6" max="6" width="18.6640625" customWidth="1"/>
    <col min="7" max="7" width="16.5546875" customWidth="1"/>
    <col min="8" max="8" width="26.77734375" customWidth="1"/>
    <col min="9" max="9" width="75.21875" bestFit="1" customWidth="1"/>
    <col min="10" max="10" width="18.44140625" bestFit="1" customWidth="1"/>
    <col min="11" max="11" width="35.77734375" bestFit="1" customWidth="1"/>
    <col min="12" max="12" width="24.5546875" bestFit="1" customWidth="1"/>
  </cols>
  <sheetData>
    <row r="1" spans="1:13" ht="25.8" customHeight="1">
      <c r="A1" s="318" t="s">
        <v>265</v>
      </c>
      <c r="B1" s="319" t="s">
        <v>266</v>
      </c>
      <c r="C1" s="318" t="s">
        <v>268</v>
      </c>
      <c r="D1" s="320" t="s">
        <v>318</v>
      </c>
      <c r="E1" s="322" t="s">
        <v>319</v>
      </c>
      <c r="F1" s="320" t="s">
        <v>320</v>
      </c>
      <c r="G1" s="321"/>
      <c r="H1" s="321"/>
      <c r="I1" s="320" t="s">
        <v>321</v>
      </c>
      <c r="J1" s="324" t="s">
        <v>322</v>
      </c>
      <c r="K1" s="320" t="s">
        <v>323</v>
      </c>
      <c r="L1" s="317" t="s">
        <v>324</v>
      </c>
    </row>
    <row r="2" spans="1:13" s="61" customFormat="1" ht="25.8" customHeight="1">
      <c r="A2" s="318"/>
      <c r="B2" s="319"/>
      <c r="C2" s="318"/>
      <c r="D2" s="321"/>
      <c r="E2" s="323"/>
      <c r="F2" s="149" t="s">
        <v>325</v>
      </c>
      <c r="G2" s="150" t="s">
        <v>326</v>
      </c>
      <c r="H2" s="151" t="s">
        <v>327</v>
      </c>
      <c r="I2" s="321"/>
      <c r="J2" s="325"/>
      <c r="K2" s="321"/>
      <c r="L2" s="317"/>
    </row>
    <row r="3" spans="1:13" ht="15.6">
      <c r="A3" s="98">
        <v>8301</v>
      </c>
      <c r="B3" s="99" t="s">
        <v>302</v>
      </c>
      <c r="C3" s="101">
        <v>46100</v>
      </c>
      <c r="D3" s="152" t="s">
        <v>472</v>
      </c>
      <c r="E3" s="155">
        <v>34073</v>
      </c>
      <c r="F3" s="154" t="s">
        <v>328</v>
      </c>
      <c r="G3" s="153">
        <v>45588</v>
      </c>
      <c r="H3" s="154" t="s">
        <v>329</v>
      </c>
      <c r="I3" s="154" t="s">
        <v>330</v>
      </c>
      <c r="J3" s="154" t="s">
        <v>331</v>
      </c>
      <c r="K3" s="154" t="s">
        <v>332</v>
      </c>
      <c r="L3" s="154" t="s">
        <v>333</v>
      </c>
    </row>
    <row r="4" spans="1:13" ht="15.6">
      <c r="A4" s="98">
        <v>8302</v>
      </c>
      <c r="B4" s="99" t="s">
        <v>31</v>
      </c>
      <c r="C4" s="101">
        <v>46100</v>
      </c>
      <c r="D4" s="152" t="s">
        <v>472</v>
      </c>
      <c r="E4" s="155">
        <v>37970</v>
      </c>
      <c r="F4" s="154" t="s">
        <v>334</v>
      </c>
      <c r="G4" s="155">
        <v>44306</v>
      </c>
      <c r="H4" s="154" t="s">
        <v>329</v>
      </c>
      <c r="I4" s="154" t="s">
        <v>335</v>
      </c>
      <c r="J4" s="154" t="s">
        <v>336</v>
      </c>
      <c r="K4" s="154" t="s">
        <v>337</v>
      </c>
      <c r="L4" s="154" t="s">
        <v>338</v>
      </c>
    </row>
    <row r="5" spans="1:13" ht="15.6">
      <c r="A5" s="98">
        <v>8303</v>
      </c>
      <c r="B5" s="99" t="s">
        <v>304</v>
      </c>
      <c r="C5" s="101">
        <v>46100</v>
      </c>
      <c r="D5" s="152" t="s">
        <v>472</v>
      </c>
      <c r="E5" s="155">
        <v>37994</v>
      </c>
      <c r="F5" s="154" t="s">
        <v>339</v>
      </c>
      <c r="G5" s="155">
        <v>45922</v>
      </c>
      <c r="H5" s="154" t="s">
        <v>340</v>
      </c>
      <c r="I5" s="154" t="s">
        <v>341</v>
      </c>
      <c r="J5" s="154" t="s">
        <v>487</v>
      </c>
      <c r="K5" s="154" t="s">
        <v>342</v>
      </c>
      <c r="L5" s="154" t="s">
        <v>333</v>
      </c>
    </row>
    <row r="6" spans="1:13" ht="15.6">
      <c r="A6" s="98">
        <v>8306</v>
      </c>
      <c r="B6" s="99" t="s">
        <v>245</v>
      </c>
      <c r="C6" s="101">
        <v>46113</v>
      </c>
      <c r="D6" s="152" t="s">
        <v>472</v>
      </c>
      <c r="E6" s="155">
        <v>33350</v>
      </c>
      <c r="F6" s="154" t="s">
        <v>343</v>
      </c>
      <c r="G6" s="155">
        <v>44552</v>
      </c>
      <c r="H6" s="154" t="s">
        <v>329</v>
      </c>
      <c r="I6" s="154" t="s">
        <v>344</v>
      </c>
      <c r="J6" s="154" t="s">
        <v>345</v>
      </c>
      <c r="K6" s="154" t="s">
        <v>346</v>
      </c>
      <c r="L6" s="154" t="s">
        <v>347</v>
      </c>
    </row>
    <row r="7" spans="1:13" ht="15.6">
      <c r="A7" s="98">
        <v>8307</v>
      </c>
      <c r="B7" s="99" t="s">
        <v>246</v>
      </c>
      <c r="C7" s="101">
        <v>46113</v>
      </c>
      <c r="D7" s="152" t="s">
        <v>473</v>
      </c>
      <c r="E7" s="155">
        <v>37436</v>
      </c>
      <c r="F7" s="154" t="s">
        <v>348</v>
      </c>
      <c r="G7" s="155">
        <v>44587</v>
      </c>
      <c r="H7" s="154" t="s">
        <v>329</v>
      </c>
      <c r="I7" s="154" t="s">
        <v>349</v>
      </c>
      <c r="J7" s="154" t="s">
        <v>350</v>
      </c>
      <c r="K7" s="154" t="s">
        <v>351</v>
      </c>
      <c r="L7" s="154" t="s">
        <v>333</v>
      </c>
    </row>
    <row r="8" spans="1:13" ht="15.6">
      <c r="A8" s="98">
        <v>8309</v>
      </c>
      <c r="B8" s="99" t="s">
        <v>247</v>
      </c>
      <c r="C8" s="101">
        <v>46113</v>
      </c>
      <c r="D8" s="152" t="s">
        <v>472</v>
      </c>
      <c r="E8" s="155">
        <v>37780</v>
      </c>
      <c r="F8" s="154" t="s">
        <v>352</v>
      </c>
      <c r="G8" s="155">
        <v>44266</v>
      </c>
      <c r="H8" s="154" t="s">
        <v>329</v>
      </c>
      <c r="I8" s="154" t="s">
        <v>353</v>
      </c>
      <c r="J8" s="154" t="s">
        <v>354</v>
      </c>
      <c r="K8" s="154" t="s">
        <v>355</v>
      </c>
      <c r="L8" s="154" t="s">
        <v>333</v>
      </c>
    </row>
    <row r="9" spans="1:13" ht="15.6">
      <c r="A9" s="98">
        <v>8311</v>
      </c>
      <c r="B9" s="99" t="s">
        <v>305</v>
      </c>
      <c r="C9" s="101">
        <v>46113</v>
      </c>
      <c r="D9" s="152" t="s">
        <v>472</v>
      </c>
      <c r="E9" s="155">
        <v>38070</v>
      </c>
      <c r="F9" s="154" t="s">
        <v>356</v>
      </c>
      <c r="G9" s="155">
        <v>44420</v>
      </c>
      <c r="H9" s="154" t="s">
        <v>329</v>
      </c>
      <c r="I9" s="154" t="s">
        <v>357</v>
      </c>
      <c r="J9" s="154" t="s">
        <v>358</v>
      </c>
      <c r="K9" s="154" t="s">
        <v>359</v>
      </c>
      <c r="L9" s="154" t="s">
        <v>338</v>
      </c>
    </row>
    <row r="10" spans="1:13" ht="15.6">
      <c r="A10" s="98">
        <v>8316</v>
      </c>
      <c r="B10" s="99" t="s">
        <v>36</v>
      </c>
      <c r="C10" s="101">
        <v>46134</v>
      </c>
      <c r="D10" s="152" t="s">
        <v>472</v>
      </c>
      <c r="E10" s="155">
        <v>37274</v>
      </c>
      <c r="F10" s="154" t="s">
        <v>360</v>
      </c>
      <c r="G10" s="155">
        <v>44460</v>
      </c>
      <c r="H10" s="154" t="s">
        <v>329</v>
      </c>
      <c r="I10" s="154" t="s">
        <v>361</v>
      </c>
      <c r="J10" s="154" t="s">
        <v>362</v>
      </c>
      <c r="K10" s="154" t="s">
        <v>363</v>
      </c>
      <c r="L10" s="154" t="s">
        <v>364</v>
      </c>
    </row>
    <row r="11" spans="1:13" ht="15.6">
      <c r="A11" s="98">
        <v>8319</v>
      </c>
      <c r="B11" s="99" t="s">
        <v>307</v>
      </c>
      <c r="C11" s="101">
        <v>46148</v>
      </c>
      <c r="D11" s="152" t="s">
        <v>473</v>
      </c>
      <c r="E11" s="155">
        <v>36593</v>
      </c>
      <c r="F11" s="154" t="s">
        <v>459</v>
      </c>
      <c r="G11" s="155">
        <v>45919</v>
      </c>
      <c r="H11" s="154" t="s">
        <v>329</v>
      </c>
      <c r="I11" s="154" t="s">
        <v>365</v>
      </c>
      <c r="J11" s="154" t="s">
        <v>474</v>
      </c>
      <c r="K11" s="154" t="s">
        <v>366</v>
      </c>
      <c r="L11" s="154" t="s">
        <v>367</v>
      </c>
      <c r="M11" s="61"/>
    </row>
    <row r="12" spans="1:13" ht="15.6">
      <c r="A12" s="98">
        <v>8320</v>
      </c>
      <c r="B12" s="99" t="s">
        <v>37</v>
      </c>
      <c r="C12" s="101">
        <v>46148</v>
      </c>
      <c r="D12" s="152" t="s">
        <v>472</v>
      </c>
      <c r="E12" s="155">
        <v>33211</v>
      </c>
      <c r="F12" s="154" t="s">
        <v>460</v>
      </c>
      <c r="G12" s="155">
        <v>45174</v>
      </c>
      <c r="H12" s="154" t="s">
        <v>329</v>
      </c>
      <c r="I12" s="154" t="s">
        <v>368</v>
      </c>
      <c r="J12" s="154" t="s">
        <v>475</v>
      </c>
      <c r="K12" s="154" t="s">
        <v>369</v>
      </c>
      <c r="L12" s="154" t="s">
        <v>364</v>
      </c>
      <c r="M12" s="61"/>
    </row>
    <row r="13" spans="1:13" ht="15.6">
      <c r="A13" s="98">
        <v>8321</v>
      </c>
      <c r="B13" s="99" t="s">
        <v>308</v>
      </c>
      <c r="C13" s="101">
        <v>46148</v>
      </c>
      <c r="D13" s="152" t="s">
        <v>473</v>
      </c>
      <c r="E13" s="155">
        <v>38444</v>
      </c>
      <c r="F13" s="154" t="s">
        <v>461</v>
      </c>
      <c r="G13" s="155">
        <v>44551</v>
      </c>
      <c r="H13" s="154" t="s">
        <v>329</v>
      </c>
      <c r="I13" s="154" t="s">
        <v>370</v>
      </c>
      <c r="J13" s="154" t="s">
        <v>476</v>
      </c>
      <c r="K13" s="154" t="s">
        <v>371</v>
      </c>
      <c r="L13" s="154" t="s">
        <v>364</v>
      </c>
      <c r="M13" s="61"/>
    </row>
    <row r="14" spans="1:13" ht="15.6">
      <c r="A14" s="98">
        <v>8322</v>
      </c>
      <c r="B14" s="99" t="s">
        <v>39</v>
      </c>
      <c r="C14" s="101">
        <v>46156</v>
      </c>
      <c r="D14" s="152" t="s">
        <v>473</v>
      </c>
      <c r="E14" s="155">
        <v>37796</v>
      </c>
      <c r="F14" s="154" t="s">
        <v>462</v>
      </c>
      <c r="G14" s="155">
        <v>46007</v>
      </c>
      <c r="H14" s="154" t="s">
        <v>329</v>
      </c>
      <c r="I14" s="154" t="s">
        <v>372</v>
      </c>
      <c r="J14" s="154" t="s">
        <v>477</v>
      </c>
      <c r="K14" s="154" t="s">
        <v>373</v>
      </c>
      <c r="L14" s="154" t="s">
        <v>374</v>
      </c>
      <c r="M14" s="61"/>
    </row>
    <row r="15" spans="1:13" ht="15.6">
      <c r="A15" s="98">
        <v>8323</v>
      </c>
      <c r="B15" s="99" t="s">
        <v>251</v>
      </c>
      <c r="C15" s="101">
        <v>46163</v>
      </c>
      <c r="D15" s="152" t="s">
        <v>473</v>
      </c>
      <c r="E15" s="155">
        <v>37316</v>
      </c>
      <c r="F15" s="154" t="s">
        <v>463</v>
      </c>
      <c r="G15" s="155">
        <v>44558</v>
      </c>
      <c r="H15" s="154" t="s">
        <v>329</v>
      </c>
      <c r="I15" s="154" t="s">
        <v>375</v>
      </c>
      <c r="J15" s="154" t="s">
        <v>478</v>
      </c>
      <c r="K15" s="154" t="s">
        <v>376</v>
      </c>
      <c r="L15" s="154" t="s">
        <v>374</v>
      </c>
      <c r="M15" s="61"/>
    </row>
    <row r="16" spans="1:13" ht="15.6">
      <c r="A16" s="98">
        <v>8324</v>
      </c>
      <c r="B16" s="99" t="s">
        <v>256</v>
      </c>
      <c r="C16" s="101">
        <v>46164</v>
      </c>
      <c r="D16" s="152" t="s">
        <v>472</v>
      </c>
      <c r="E16" s="155">
        <v>37574</v>
      </c>
      <c r="F16" s="154" t="s">
        <v>464</v>
      </c>
      <c r="G16" s="155">
        <v>44573</v>
      </c>
      <c r="H16" s="154" t="s">
        <v>329</v>
      </c>
      <c r="I16" s="154" t="s">
        <v>377</v>
      </c>
      <c r="J16" s="154" t="s">
        <v>479</v>
      </c>
      <c r="K16" s="154" t="s">
        <v>378</v>
      </c>
      <c r="L16" s="154" t="s">
        <v>374</v>
      </c>
      <c r="M16" s="61"/>
    </row>
    <row r="17" spans="1:13" ht="15.6">
      <c r="A17" s="98">
        <v>8325</v>
      </c>
      <c r="B17" s="99" t="s">
        <v>252</v>
      </c>
      <c r="C17" s="101">
        <v>46164</v>
      </c>
      <c r="D17" s="152" t="s">
        <v>472</v>
      </c>
      <c r="E17" s="155">
        <v>38320</v>
      </c>
      <c r="F17" s="154" t="s">
        <v>465</v>
      </c>
      <c r="G17" s="155">
        <v>44305</v>
      </c>
      <c r="H17" s="154" t="s">
        <v>329</v>
      </c>
      <c r="I17" s="154" t="s">
        <v>379</v>
      </c>
      <c r="J17" s="154" t="s">
        <v>480</v>
      </c>
      <c r="K17" s="154" t="s">
        <v>380</v>
      </c>
      <c r="L17" s="154" t="s">
        <v>374</v>
      </c>
      <c r="M17" s="61"/>
    </row>
    <row r="18" spans="1:13" ht="15.6">
      <c r="A18" s="98">
        <v>8326</v>
      </c>
      <c r="B18" s="99" t="s">
        <v>40</v>
      </c>
      <c r="C18" s="101">
        <v>46170</v>
      </c>
      <c r="D18" s="152" t="s">
        <v>472</v>
      </c>
      <c r="E18" s="155">
        <v>37985</v>
      </c>
      <c r="F18" s="154" t="s">
        <v>466</v>
      </c>
      <c r="G18" s="155">
        <v>44839</v>
      </c>
      <c r="H18" s="154" t="s">
        <v>329</v>
      </c>
      <c r="I18" s="154" t="s">
        <v>381</v>
      </c>
      <c r="J18" s="154" t="s">
        <v>481</v>
      </c>
      <c r="K18" s="154" t="s">
        <v>382</v>
      </c>
      <c r="L18" s="154" t="s">
        <v>364</v>
      </c>
      <c r="M18" s="61"/>
    </row>
    <row r="19" spans="1:13" ht="15.6">
      <c r="A19" s="98">
        <v>8327</v>
      </c>
      <c r="B19" s="99" t="s">
        <v>41</v>
      </c>
      <c r="C19" s="101">
        <v>46170</v>
      </c>
      <c r="D19" s="152" t="s">
        <v>472</v>
      </c>
      <c r="E19" s="155">
        <v>37684</v>
      </c>
      <c r="F19" s="154" t="s">
        <v>467</v>
      </c>
      <c r="G19" s="155">
        <v>44337</v>
      </c>
      <c r="H19" s="154" t="s">
        <v>329</v>
      </c>
      <c r="I19" s="154" t="s">
        <v>383</v>
      </c>
      <c r="J19" s="154" t="s">
        <v>482</v>
      </c>
      <c r="K19" s="154" t="s">
        <v>384</v>
      </c>
      <c r="L19" s="154" t="s">
        <v>374</v>
      </c>
      <c r="M19" s="61"/>
    </row>
    <row r="20" spans="1:13" ht="15.6">
      <c r="A20" s="98">
        <v>8330</v>
      </c>
      <c r="B20" s="99" t="s">
        <v>309</v>
      </c>
      <c r="C20" s="101">
        <v>46179</v>
      </c>
      <c r="D20" s="152" t="s">
        <v>472</v>
      </c>
      <c r="E20" s="155">
        <v>37643</v>
      </c>
      <c r="F20" s="154" t="s">
        <v>468</v>
      </c>
      <c r="G20" s="155">
        <v>44855</v>
      </c>
      <c r="H20" s="154" t="s">
        <v>385</v>
      </c>
      <c r="I20" s="154" t="s">
        <v>386</v>
      </c>
      <c r="J20" s="154" t="s">
        <v>483</v>
      </c>
      <c r="K20" s="154" t="s">
        <v>387</v>
      </c>
      <c r="L20" s="154" t="s">
        <v>374</v>
      </c>
      <c r="M20" s="61"/>
    </row>
    <row r="21" spans="1:13" ht="15.6">
      <c r="A21" s="98">
        <v>8331</v>
      </c>
      <c r="B21" s="99" t="s">
        <v>310</v>
      </c>
      <c r="C21" s="101">
        <v>46184</v>
      </c>
      <c r="D21" s="152" t="s">
        <v>472</v>
      </c>
      <c r="E21" s="155">
        <v>35944</v>
      </c>
      <c r="F21" s="154" t="s">
        <v>469</v>
      </c>
      <c r="G21" s="155">
        <v>45078</v>
      </c>
      <c r="H21" s="154" t="s">
        <v>385</v>
      </c>
      <c r="I21" s="154" t="s">
        <v>388</v>
      </c>
      <c r="J21" s="154" t="s">
        <v>484</v>
      </c>
      <c r="K21" s="154" t="s">
        <v>389</v>
      </c>
      <c r="L21" s="154" t="s">
        <v>364</v>
      </c>
      <c r="M21" s="61"/>
    </row>
    <row r="22" spans="1:13" ht="15.6">
      <c r="A22" s="98">
        <v>8332</v>
      </c>
      <c r="B22" s="99" t="s">
        <v>248</v>
      </c>
      <c r="C22" s="101">
        <v>46196</v>
      </c>
      <c r="D22" s="152" t="s">
        <v>472</v>
      </c>
      <c r="E22" s="155">
        <v>38660</v>
      </c>
      <c r="F22" s="154" t="s">
        <v>470</v>
      </c>
      <c r="G22" s="155">
        <v>44305</v>
      </c>
      <c r="H22" s="154" t="s">
        <v>385</v>
      </c>
      <c r="I22" s="154" t="s">
        <v>390</v>
      </c>
      <c r="J22" s="154" t="s">
        <v>485</v>
      </c>
      <c r="K22" s="154" t="s">
        <v>391</v>
      </c>
      <c r="L22" s="154" t="s">
        <v>364</v>
      </c>
      <c r="M22" s="61"/>
    </row>
    <row r="23" spans="1:13" ht="15.6">
      <c r="A23" s="98">
        <v>8333</v>
      </c>
      <c r="B23" s="99" t="s">
        <v>249</v>
      </c>
      <c r="C23" s="101">
        <v>46197</v>
      </c>
      <c r="D23" s="152" t="s">
        <v>472</v>
      </c>
      <c r="E23" s="155">
        <v>37307</v>
      </c>
      <c r="F23" s="154" t="s">
        <v>471</v>
      </c>
      <c r="G23" s="155">
        <v>45232</v>
      </c>
      <c r="H23" s="154" t="s">
        <v>385</v>
      </c>
      <c r="I23" s="154" t="s">
        <v>392</v>
      </c>
      <c r="J23" s="154" t="s">
        <v>486</v>
      </c>
      <c r="K23" s="154" t="s">
        <v>393</v>
      </c>
      <c r="L23" s="154" t="s">
        <v>364</v>
      </c>
      <c r="M23" s="61"/>
    </row>
    <row r="24" spans="1:13" ht="15.6">
      <c r="A24" s="98">
        <v>8201</v>
      </c>
      <c r="B24" s="99" t="s">
        <v>49</v>
      </c>
      <c r="C24" s="101">
        <v>45713</v>
      </c>
      <c r="D24" s="152" t="s">
        <v>472</v>
      </c>
      <c r="E24" s="155">
        <v>38120</v>
      </c>
      <c r="F24" s="154" t="s">
        <v>488</v>
      </c>
      <c r="G24" s="155">
        <v>44293</v>
      </c>
      <c r="H24" s="154" t="s">
        <v>489</v>
      </c>
      <c r="I24" s="154" t="s">
        <v>490</v>
      </c>
      <c r="J24" s="154" t="s">
        <v>491</v>
      </c>
      <c r="K24" s="154" t="s">
        <v>490</v>
      </c>
      <c r="L24" s="154" t="s">
        <v>364</v>
      </c>
    </row>
    <row r="25" spans="1:13" ht="15.6">
      <c r="A25" s="98">
        <v>8203</v>
      </c>
      <c r="B25" s="99" t="s">
        <v>54</v>
      </c>
      <c r="C25" s="101">
        <v>45761</v>
      </c>
      <c r="D25" s="152" t="s">
        <v>472</v>
      </c>
      <c r="E25" s="155" t="s">
        <v>394</v>
      </c>
      <c r="F25" s="154" t="s">
        <v>395</v>
      </c>
      <c r="G25" s="155" t="s">
        <v>396</v>
      </c>
      <c r="H25" s="154" t="s">
        <v>329</v>
      </c>
      <c r="I25" s="154" t="s">
        <v>397</v>
      </c>
      <c r="J25" s="154" t="s">
        <v>398</v>
      </c>
      <c r="K25" s="154" t="s">
        <v>399</v>
      </c>
      <c r="L25" s="154" t="s">
        <v>364</v>
      </c>
    </row>
    <row r="26" spans="1:13" ht="15.6">
      <c r="A26" s="98">
        <v>8205</v>
      </c>
      <c r="B26" s="99" t="s">
        <v>63</v>
      </c>
      <c r="C26" s="101">
        <v>44154</v>
      </c>
      <c r="D26" s="152" t="s">
        <v>472</v>
      </c>
      <c r="E26" s="155" t="s">
        <v>492</v>
      </c>
      <c r="F26" s="154" t="s">
        <v>493</v>
      </c>
      <c r="G26" s="155" t="s">
        <v>494</v>
      </c>
      <c r="H26" s="154" t="s">
        <v>489</v>
      </c>
      <c r="I26" s="154" t="s">
        <v>495</v>
      </c>
      <c r="J26" s="154" t="s">
        <v>496</v>
      </c>
      <c r="K26" s="154" t="s">
        <v>495</v>
      </c>
      <c r="L26" s="154" t="s">
        <v>367</v>
      </c>
    </row>
    <row r="27" spans="1:13" ht="15.6">
      <c r="A27" s="98">
        <v>8213</v>
      </c>
      <c r="B27" s="99" t="s">
        <v>62</v>
      </c>
      <c r="C27" s="101">
        <v>45628</v>
      </c>
      <c r="D27" s="152" t="s">
        <v>472</v>
      </c>
      <c r="E27" s="155">
        <v>37476</v>
      </c>
      <c r="F27" s="154" t="s">
        <v>497</v>
      </c>
      <c r="G27" s="155" t="s">
        <v>498</v>
      </c>
      <c r="H27" s="154" t="s">
        <v>489</v>
      </c>
      <c r="I27" s="154" t="s">
        <v>499</v>
      </c>
      <c r="J27" s="154" t="s">
        <v>500</v>
      </c>
      <c r="K27" s="154" t="s">
        <v>499</v>
      </c>
      <c r="L27" s="154" t="s">
        <v>374</v>
      </c>
    </row>
    <row r="28" spans="1:13" ht="15.6">
      <c r="A28" s="98">
        <v>8217</v>
      </c>
      <c r="B28" s="99" t="s">
        <v>67</v>
      </c>
      <c r="C28" s="101">
        <v>46082</v>
      </c>
      <c r="D28" s="152" t="s">
        <v>472</v>
      </c>
      <c r="E28" s="155">
        <v>37884</v>
      </c>
      <c r="F28" s="154" t="s">
        <v>400</v>
      </c>
      <c r="G28" s="155">
        <v>44810</v>
      </c>
      <c r="H28" s="154" t="s">
        <v>401</v>
      </c>
      <c r="I28" s="154" t="s">
        <v>402</v>
      </c>
      <c r="J28" s="154" t="s">
        <v>403</v>
      </c>
      <c r="K28" s="154" t="s">
        <v>404</v>
      </c>
      <c r="L28" s="154" t="s">
        <v>405</v>
      </c>
    </row>
    <row r="29" spans="1:13" ht="15.6">
      <c r="A29" s="98">
        <v>8219</v>
      </c>
      <c r="B29" s="99" t="s">
        <v>42</v>
      </c>
      <c r="C29" s="101">
        <v>44287</v>
      </c>
      <c r="D29" s="152" t="s">
        <v>472</v>
      </c>
      <c r="E29" s="155" t="s">
        <v>501</v>
      </c>
      <c r="F29" s="154" t="s">
        <v>502</v>
      </c>
      <c r="G29" s="155" t="s">
        <v>503</v>
      </c>
      <c r="H29" s="154" t="s">
        <v>489</v>
      </c>
      <c r="I29" s="154" t="s">
        <v>504</v>
      </c>
      <c r="J29" s="154" t="s">
        <v>505</v>
      </c>
      <c r="K29" s="154" t="s">
        <v>504</v>
      </c>
      <c r="L29" s="154" t="s">
        <v>347</v>
      </c>
    </row>
    <row r="30" spans="1:13" ht="15.6">
      <c r="A30" s="98">
        <v>8220</v>
      </c>
      <c r="B30" s="99" t="s">
        <v>52</v>
      </c>
      <c r="C30" s="101">
        <v>45867</v>
      </c>
      <c r="D30" s="152" t="s">
        <v>473</v>
      </c>
      <c r="E30" s="155">
        <v>37927</v>
      </c>
      <c r="F30" s="154" t="s">
        <v>406</v>
      </c>
      <c r="G30" s="155">
        <v>44329</v>
      </c>
      <c r="H30" s="154" t="s">
        <v>329</v>
      </c>
      <c r="I30" s="154" t="s">
        <v>407</v>
      </c>
      <c r="J30" s="154" t="s">
        <v>408</v>
      </c>
      <c r="K30" s="154" t="s">
        <v>409</v>
      </c>
      <c r="L30" s="154" t="s">
        <v>338</v>
      </c>
    </row>
    <row r="31" spans="1:13" ht="15.6">
      <c r="A31" s="98">
        <v>8224</v>
      </c>
      <c r="B31" s="99" t="s">
        <v>51</v>
      </c>
      <c r="C31" s="101">
        <v>45867</v>
      </c>
      <c r="D31" s="152" t="s">
        <v>472</v>
      </c>
      <c r="E31" s="155">
        <v>37904</v>
      </c>
      <c r="F31" s="154" t="s">
        <v>410</v>
      </c>
      <c r="G31" s="155">
        <v>44299</v>
      </c>
      <c r="H31" s="154" t="s">
        <v>329</v>
      </c>
      <c r="I31" s="154" t="s">
        <v>411</v>
      </c>
      <c r="J31" s="154" t="s">
        <v>412</v>
      </c>
      <c r="K31" s="154" t="s">
        <v>413</v>
      </c>
      <c r="L31" s="154" t="s">
        <v>374</v>
      </c>
    </row>
    <row r="32" spans="1:13" ht="15.6">
      <c r="A32" s="98">
        <v>8230</v>
      </c>
      <c r="B32" s="99" t="s">
        <v>45</v>
      </c>
      <c r="C32" s="101">
        <v>44348</v>
      </c>
      <c r="D32" s="152" t="s">
        <v>473</v>
      </c>
      <c r="E32" s="155" t="s">
        <v>506</v>
      </c>
      <c r="F32" s="154" t="s">
        <v>507</v>
      </c>
      <c r="G32" s="155" t="s">
        <v>508</v>
      </c>
      <c r="H32" s="154" t="s">
        <v>489</v>
      </c>
      <c r="I32" s="154" t="s">
        <v>509</v>
      </c>
      <c r="J32" s="154" t="s">
        <v>510</v>
      </c>
      <c r="K32" s="154" t="s">
        <v>509</v>
      </c>
      <c r="L32" s="154" t="s">
        <v>367</v>
      </c>
    </row>
    <row r="33" spans="1:12" ht="15.6">
      <c r="A33" s="98">
        <v>8235</v>
      </c>
      <c r="B33" s="99" t="s">
        <v>44</v>
      </c>
      <c r="C33" s="101">
        <v>45449</v>
      </c>
      <c r="D33" s="152" t="s">
        <v>472</v>
      </c>
      <c r="E33" s="155">
        <v>35431</v>
      </c>
      <c r="F33" s="154" t="s">
        <v>511</v>
      </c>
      <c r="G33" s="155">
        <v>44670</v>
      </c>
      <c r="H33" s="154" t="s">
        <v>489</v>
      </c>
      <c r="I33" s="154" t="s">
        <v>512</v>
      </c>
      <c r="J33" s="154" t="s">
        <v>513</v>
      </c>
      <c r="K33" s="154" t="s">
        <v>512</v>
      </c>
      <c r="L33" s="154" t="s">
        <v>374</v>
      </c>
    </row>
    <row r="34" spans="1:12" ht="15.6">
      <c r="A34" s="98">
        <v>8236</v>
      </c>
      <c r="B34" s="99" t="s">
        <v>60</v>
      </c>
      <c r="C34" s="101">
        <v>46050</v>
      </c>
      <c r="D34" s="152" t="s">
        <v>472</v>
      </c>
      <c r="E34" s="155">
        <v>33533</v>
      </c>
      <c r="F34" s="154" t="s">
        <v>414</v>
      </c>
      <c r="G34" s="155">
        <v>44551</v>
      </c>
      <c r="H34" s="154" t="s">
        <v>401</v>
      </c>
      <c r="I34" s="154" t="s">
        <v>415</v>
      </c>
      <c r="J34" s="154" t="s">
        <v>416</v>
      </c>
      <c r="K34" s="154" t="s">
        <v>417</v>
      </c>
      <c r="L34" s="154" t="s">
        <v>333</v>
      </c>
    </row>
    <row r="35" spans="1:12" ht="15.6">
      <c r="A35" s="98">
        <v>8237</v>
      </c>
      <c r="B35" s="99" t="s">
        <v>57</v>
      </c>
      <c r="C35" s="101">
        <v>45863</v>
      </c>
      <c r="D35" s="152" t="s">
        <v>473</v>
      </c>
      <c r="E35" s="155">
        <v>38969</v>
      </c>
      <c r="F35" s="154" t="s">
        <v>418</v>
      </c>
      <c r="G35" s="155">
        <v>45544</v>
      </c>
      <c r="H35" s="154" t="s">
        <v>329</v>
      </c>
      <c r="I35" s="154" t="s">
        <v>419</v>
      </c>
      <c r="J35" s="154" t="s">
        <v>420</v>
      </c>
      <c r="K35" s="154" t="s">
        <v>421</v>
      </c>
      <c r="L35" s="154" t="s">
        <v>364</v>
      </c>
    </row>
    <row r="36" spans="1:12" ht="15.6">
      <c r="A36" s="98">
        <v>8238</v>
      </c>
      <c r="B36" s="99" t="s">
        <v>58</v>
      </c>
      <c r="C36" s="101">
        <v>45863</v>
      </c>
      <c r="D36" s="152" t="s">
        <v>472</v>
      </c>
      <c r="E36" s="155">
        <v>38504</v>
      </c>
      <c r="F36" s="154" t="s">
        <v>422</v>
      </c>
      <c r="G36" s="155">
        <v>44522</v>
      </c>
      <c r="H36" s="154" t="s">
        <v>329</v>
      </c>
      <c r="I36" s="154" t="s">
        <v>423</v>
      </c>
      <c r="J36" s="154" t="s">
        <v>424</v>
      </c>
      <c r="K36" s="154" t="s">
        <v>425</v>
      </c>
      <c r="L36" s="154" t="s">
        <v>364</v>
      </c>
    </row>
    <row r="37" spans="1:12" ht="15.6">
      <c r="A37" s="98">
        <v>8242</v>
      </c>
      <c r="B37" s="99" t="s">
        <v>46</v>
      </c>
      <c r="C37" s="101">
        <v>45050</v>
      </c>
      <c r="D37" s="152" t="s">
        <v>472</v>
      </c>
      <c r="E37" s="155" t="s">
        <v>514</v>
      </c>
      <c r="F37" s="154" t="s">
        <v>515</v>
      </c>
      <c r="G37" s="155" t="s">
        <v>516</v>
      </c>
      <c r="H37" s="154" t="s">
        <v>489</v>
      </c>
      <c r="I37" s="154" t="s">
        <v>517</v>
      </c>
      <c r="J37" s="154" t="s">
        <v>518</v>
      </c>
      <c r="K37" s="154" t="s">
        <v>517</v>
      </c>
      <c r="L37" s="154" t="s">
        <v>374</v>
      </c>
    </row>
    <row r="38" spans="1:12" ht="15.6">
      <c r="A38" s="98">
        <v>8245</v>
      </c>
      <c r="B38" s="99" t="s">
        <v>53</v>
      </c>
      <c r="C38" s="101">
        <v>45874</v>
      </c>
      <c r="D38" s="152" t="s">
        <v>472</v>
      </c>
      <c r="E38" s="155">
        <v>36410</v>
      </c>
      <c r="F38" s="154" t="s">
        <v>426</v>
      </c>
      <c r="G38" s="155">
        <v>44873</v>
      </c>
      <c r="H38" s="154" t="s">
        <v>329</v>
      </c>
      <c r="I38" s="154" t="s">
        <v>427</v>
      </c>
      <c r="J38" s="154" t="s">
        <v>428</v>
      </c>
      <c r="K38" s="154" t="s">
        <v>429</v>
      </c>
      <c r="L38" s="154" t="s">
        <v>374</v>
      </c>
    </row>
    <row r="39" spans="1:12" ht="15.6">
      <c r="A39" s="98">
        <v>8247</v>
      </c>
      <c r="B39" s="99" t="s">
        <v>66</v>
      </c>
      <c r="C39" s="101">
        <v>45077</v>
      </c>
      <c r="D39" s="152" t="s">
        <v>472</v>
      </c>
      <c r="E39" s="155">
        <v>36407</v>
      </c>
      <c r="F39" s="156" t="s">
        <v>549</v>
      </c>
      <c r="G39" s="155">
        <v>44643</v>
      </c>
      <c r="H39" s="154" t="s">
        <v>489</v>
      </c>
      <c r="I39" s="154" t="s">
        <v>519</v>
      </c>
      <c r="J39" s="154" t="s">
        <v>520</v>
      </c>
      <c r="K39" s="154" t="s">
        <v>519</v>
      </c>
      <c r="L39" s="154">
        <v>0</v>
      </c>
    </row>
    <row r="40" spans="1:12" ht="15.6">
      <c r="A40" s="98">
        <v>8249</v>
      </c>
      <c r="B40" s="99" t="s">
        <v>311</v>
      </c>
      <c r="C40" s="101">
        <v>45091</v>
      </c>
      <c r="D40" s="152" t="s">
        <v>472</v>
      </c>
      <c r="E40" s="155" t="s">
        <v>521</v>
      </c>
      <c r="F40" s="154" t="s">
        <v>522</v>
      </c>
      <c r="G40" s="155" t="s">
        <v>523</v>
      </c>
      <c r="H40" s="154" t="s">
        <v>489</v>
      </c>
      <c r="I40" s="154" t="s">
        <v>524</v>
      </c>
      <c r="J40" s="154" t="s">
        <v>525</v>
      </c>
      <c r="K40" s="154" t="s">
        <v>524</v>
      </c>
      <c r="L40" s="154">
        <v>0</v>
      </c>
    </row>
    <row r="41" spans="1:12" ht="15.6">
      <c r="A41" s="98">
        <v>8254</v>
      </c>
      <c r="B41" s="99" t="s">
        <v>47</v>
      </c>
      <c r="C41" s="101">
        <v>45113</v>
      </c>
      <c r="D41" s="152" t="s">
        <v>472</v>
      </c>
      <c r="E41" s="155" t="s">
        <v>526</v>
      </c>
      <c r="F41" s="154" t="s">
        <v>527</v>
      </c>
      <c r="G41" s="155">
        <v>44564</v>
      </c>
      <c r="H41" s="154" t="s">
        <v>489</v>
      </c>
      <c r="I41" s="154" t="s">
        <v>528</v>
      </c>
      <c r="J41" s="154" t="s">
        <v>529</v>
      </c>
      <c r="K41" s="154" t="s">
        <v>528</v>
      </c>
      <c r="L41" s="154" t="s">
        <v>374</v>
      </c>
    </row>
    <row r="42" spans="1:12" ht="15.6">
      <c r="A42" s="98">
        <v>8255</v>
      </c>
      <c r="B42" s="99" t="s">
        <v>253</v>
      </c>
      <c r="C42" s="101">
        <v>45573</v>
      </c>
      <c r="D42" s="152" t="s">
        <v>473</v>
      </c>
      <c r="E42" s="155">
        <v>37623</v>
      </c>
      <c r="F42" s="156" t="s">
        <v>550</v>
      </c>
      <c r="G42" s="155">
        <v>44902</v>
      </c>
      <c r="H42" s="154" t="s">
        <v>489</v>
      </c>
      <c r="I42" s="154" t="s">
        <v>530</v>
      </c>
      <c r="J42" s="154" t="s">
        <v>531</v>
      </c>
      <c r="K42" s="154" t="s">
        <v>530</v>
      </c>
      <c r="L42" s="154" t="s">
        <v>531</v>
      </c>
    </row>
    <row r="43" spans="1:12" ht="15.6">
      <c r="A43" s="98">
        <v>8258</v>
      </c>
      <c r="B43" s="99" t="s">
        <v>48</v>
      </c>
      <c r="C43" s="101">
        <v>45532</v>
      </c>
      <c r="D43" s="152" t="s">
        <v>472</v>
      </c>
      <c r="E43" s="155" t="s">
        <v>532</v>
      </c>
      <c r="F43" s="154" t="s">
        <v>533</v>
      </c>
      <c r="G43" s="155" t="s">
        <v>534</v>
      </c>
      <c r="H43" s="154" t="s">
        <v>489</v>
      </c>
      <c r="I43" s="154" t="s">
        <v>535</v>
      </c>
      <c r="J43" s="154" t="s">
        <v>536</v>
      </c>
      <c r="K43" s="154" t="s">
        <v>535</v>
      </c>
      <c r="L43" s="154" t="s">
        <v>374</v>
      </c>
    </row>
    <row r="44" spans="1:12" ht="15.6">
      <c r="A44" s="98">
        <v>8262</v>
      </c>
      <c r="B44" s="99" t="s">
        <v>50</v>
      </c>
      <c r="C44" s="101">
        <v>45841</v>
      </c>
      <c r="D44" s="152" t="s">
        <v>472</v>
      </c>
      <c r="E44" s="155">
        <v>33274</v>
      </c>
      <c r="F44" s="154" t="s">
        <v>430</v>
      </c>
      <c r="G44" s="155">
        <v>44387</v>
      </c>
      <c r="H44" s="154" t="s">
        <v>329</v>
      </c>
      <c r="I44" s="154" t="s">
        <v>431</v>
      </c>
      <c r="J44" s="154" t="s">
        <v>432</v>
      </c>
      <c r="K44" s="154" t="s">
        <v>433</v>
      </c>
      <c r="L44" s="154" t="s">
        <v>367</v>
      </c>
    </row>
    <row r="45" spans="1:12" ht="15.6">
      <c r="A45" s="98">
        <v>8267</v>
      </c>
      <c r="B45" s="99" t="s">
        <v>68</v>
      </c>
      <c r="C45" s="101">
        <v>45189</v>
      </c>
      <c r="D45" s="152" t="s">
        <v>472</v>
      </c>
      <c r="E45" s="155">
        <v>36872</v>
      </c>
      <c r="F45" s="154" t="s">
        <v>537</v>
      </c>
      <c r="G45" s="155" t="s">
        <v>538</v>
      </c>
      <c r="H45" s="154" t="s">
        <v>489</v>
      </c>
      <c r="I45" s="154" t="s">
        <v>539</v>
      </c>
      <c r="J45" s="156" t="s">
        <v>551</v>
      </c>
      <c r="K45" s="154" t="s">
        <v>539</v>
      </c>
      <c r="L45" s="154">
        <v>0</v>
      </c>
    </row>
    <row r="46" spans="1:12" ht="15.6">
      <c r="A46" s="98">
        <v>8273</v>
      </c>
      <c r="B46" s="99" t="s">
        <v>61</v>
      </c>
      <c r="C46" s="101">
        <v>45903</v>
      </c>
      <c r="D46" s="152" t="s">
        <v>472</v>
      </c>
      <c r="E46" s="155">
        <v>37121</v>
      </c>
      <c r="F46" s="154" t="s">
        <v>434</v>
      </c>
      <c r="G46" s="155">
        <v>44556</v>
      </c>
      <c r="H46" s="154" t="s">
        <v>435</v>
      </c>
      <c r="I46" s="154" t="s">
        <v>436</v>
      </c>
      <c r="J46" s="154" t="s">
        <v>437</v>
      </c>
      <c r="K46" s="154" t="s">
        <v>438</v>
      </c>
      <c r="L46" s="154" t="s">
        <v>333</v>
      </c>
    </row>
    <row r="47" spans="1:12" ht="15.6">
      <c r="A47" s="98">
        <v>8274</v>
      </c>
      <c r="B47" s="99" t="s">
        <v>65</v>
      </c>
      <c r="C47" s="101">
        <v>45945</v>
      </c>
      <c r="D47" s="152" t="s">
        <v>473</v>
      </c>
      <c r="E47" s="155">
        <v>36449</v>
      </c>
      <c r="F47" s="154" t="s">
        <v>439</v>
      </c>
      <c r="G47" s="155">
        <v>45582</v>
      </c>
      <c r="H47" s="154" t="s">
        <v>340</v>
      </c>
      <c r="I47" s="154" t="s">
        <v>440</v>
      </c>
      <c r="J47" s="154" t="s">
        <v>441</v>
      </c>
      <c r="K47" s="154" t="s">
        <v>442</v>
      </c>
      <c r="L47" s="154" t="s">
        <v>333</v>
      </c>
    </row>
    <row r="48" spans="1:12" ht="15.6">
      <c r="A48" s="98">
        <v>8279</v>
      </c>
      <c r="B48" s="99" t="s">
        <v>59</v>
      </c>
      <c r="C48" s="101">
        <v>45631</v>
      </c>
      <c r="D48" s="152" t="s">
        <v>472</v>
      </c>
      <c r="E48" s="155">
        <v>33355</v>
      </c>
      <c r="F48" s="154" t="s">
        <v>540</v>
      </c>
      <c r="G48" s="155" t="s">
        <v>541</v>
      </c>
      <c r="H48" s="154" t="s">
        <v>489</v>
      </c>
      <c r="I48" s="154" t="s">
        <v>542</v>
      </c>
      <c r="J48" s="154" t="s">
        <v>543</v>
      </c>
      <c r="K48" s="154" t="s">
        <v>542</v>
      </c>
      <c r="L48" s="154" t="s">
        <v>374</v>
      </c>
    </row>
    <row r="49" spans="1:12" ht="15.6">
      <c r="A49" s="98">
        <v>8281</v>
      </c>
      <c r="B49" s="99" t="s">
        <v>55</v>
      </c>
      <c r="C49" s="101">
        <v>46054</v>
      </c>
      <c r="D49" s="152" t="s">
        <v>472</v>
      </c>
      <c r="E49" s="155">
        <v>37672</v>
      </c>
      <c r="F49" s="154" t="s">
        <v>443</v>
      </c>
      <c r="G49" s="155">
        <v>44587</v>
      </c>
      <c r="H49" s="154" t="s">
        <v>401</v>
      </c>
      <c r="I49" s="154" t="s">
        <v>444</v>
      </c>
      <c r="J49" s="154" t="s">
        <v>445</v>
      </c>
      <c r="K49" s="154" t="s">
        <v>446</v>
      </c>
      <c r="L49" s="154" t="s">
        <v>333</v>
      </c>
    </row>
    <row r="50" spans="1:12" ht="15.6">
      <c r="A50" s="98">
        <v>8283</v>
      </c>
      <c r="B50" s="99" t="s">
        <v>56</v>
      </c>
      <c r="C50" s="101">
        <v>46054</v>
      </c>
      <c r="D50" s="152" t="s">
        <v>473</v>
      </c>
      <c r="E50" s="155">
        <v>35645</v>
      </c>
      <c r="F50" s="154" t="s">
        <v>447</v>
      </c>
      <c r="G50" s="155">
        <v>44556</v>
      </c>
      <c r="H50" s="154" t="s">
        <v>401</v>
      </c>
      <c r="I50" s="154" t="s">
        <v>448</v>
      </c>
      <c r="J50" s="154" t="s">
        <v>449</v>
      </c>
      <c r="K50" s="154" t="s">
        <v>450</v>
      </c>
      <c r="L50" s="154" t="s">
        <v>338</v>
      </c>
    </row>
    <row r="51" spans="1:12" ht="15.6">
      <c r="A51" s="98">
        <v>8288</v>
      </c>
      <c r="B51" s="99" t="s">
        <v>64</v>
      </c>
      <c r="C51" s="101">
        <v>45597</v>
      </c>
      <c r="D51" s="152" t="s">
        <v>472</v>
      </c>
      <c r="E51" s="155" t="s">
        <v>544</v>
      </c>
      <c r="F51" s="154" t="s">
        <v>545</v>
      </c>
      <c r="G51" s="155" t="s">
        <v>546</v>
      </c>
      <c r="H51" s="154" t="s">
        <v>489</v>
      </c>
      <c r="I51" s="154" t="s">
        <v>547</v>
      </c>
      <c r="J51" s="154" t="s">
        <v>548</v>
      </c>
      <c r="K51" s="154" t="s">
        <v>547</v>
      </c>
      <c r="L51" s="154" t="s">
        <v>374</v>
      </c>
    </row>
    <row r="52" spans="1:12" ht="15.6">
      <c r="A52" s="98">
        <v>8292</v>
      </c>
      <c r="B52" s="99" t="s">
        <v>43</v>
      </c>
      <c r="C52" s="101">
        <v>45884</v>
      </c>
      <c r="D52" s="152" t="s">
        <v>473</v>
      </c>
      <c r="E52" s="155">
        <v>34799</v>
      </c>
      <c r="F52" s="154" t="s">
        <v>451</v>
      </c>
      <c r="G52" s="155">
        <v>45164</v>
      </c>
      <c r="H52" s="154" t="s">
        <v>435</v>
      </c>
      <c r="I52" s="154" t="s">
        <v>452</v>
      </c>
      <c r="J52" s="154" t="s">
        <v>453</v>
      </c>
      <c r="K52" s="154" t="s">
        <v>454</v>
      </c>
      <c r="L52" s="154" t="s">
        <v>333</v>
      </c>
    </row>
    <row r="53" spans="1:12" ht="15.6">
      <c r="A53" s="98">
        <v>8312</v>
      </c>
      <c r="B53" s="99" t="s">
        <v>255</v>
      </c>
      <c r="C53" s="101">
        <v>46113</v>
      </c>
      <c r="D53" s="152" t="s">
        <v>472</v>
      </c>
      <c r="E53" s="155">
        <v>36166</v>
      </c>
      <c r="F53" s="154" t="s">
        <v>455</v>
      </c>
      <c r="G53" s="155">
        <v>45455</v>
      </c>
      <c r="H53" s="154" t="s">
        <v>329</v>
      </c>
      <c r="I53" s="154" t="s">
        <v>456</v>
      </c>
      <c r="J53" s="154" t="s">
        <v>457</v>
      </c>
      <c r="K53" s="154" t="s">
        <v>458</v>
      </c>
      <c r="L53" s="154" t="s">
        <v>374</v>
      </c>
    </row>
  </sheetData>
  <mergeCells count="10">
    <mergeCell ref="L1:L2"/>
    <mergeCell ref="A1:A2"/>
    <mergeCell ref="B1:B2"/>
    <mergeCell ref="C1:C2"/>
    <mergeCell ref="D1:D2"/>
    <mergeCell ref="E1:E2"/>
    <mergeCell ref="F1:H1"/>
    <mergeCell ref="I1:I2"/>
    <mergeCell ref="J1:J2"/>
    <mergeCell ref="K1:K2"/>
  </mergeCells>
  <conditionalFormatting sqref="B3">
    <cfRule type="duplicateValues" dxfId="3" priority="3"/>
  </conditionalFormatting>
  <conditionalFormatting sqref="B4:B52">
    <cfRule type="duplicateValues" dxfId="2" priority="5"/>
  </conditionalFormatting>
  <conditionalFormatting sqref="B53">
    <cfRule type="duplicateValues" dxfId="1" priority="10"/>
  </conditionalFormatting>
  <conditionalFormatting sqref="B3:B53">
    <cfRule type="duplicateValues" dxfId="0" priority="1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4140625" defaultRowHeight="15" customHeight="1"/>
  <cols>
    <col min="1" max="26" width="8.6640625" customWidth="1"/>
  </cols>
  <sheetData>
    <row r="1" spans="1:4" ht="24.6">
      <c r="A1" s="1" t="s">
        <v>7</v>
      </c>
      <c r="B1" s="1" t="s">
        <v>99</v>
      </c>
      <c r="C1" s="1" t="s">
        <v>100</v>
      </c>
      <c r="D1" s="1" t="s">
        <v>101</v>
      </c>
    </row>
    <row r="2" spans="1:4" ht="25.2">
      <c r="A2" s="2">
        <v>1</v>
      </c>
      <c r="B2" s="2" t="s">
        <v>29</v>
      </c>
      <c r="C2" s="2" t="s">
        <v>102</v>
      </c>
      <c r="D2" s="2">
        <v>1</v>
      </c>
    </row>
    <row r="3" spans="1:4" ht="25.2">
      <c r="A3" s="2">
        <v>2</v>
      </c>
      <c r="B3" s="2" t="s">
        <v>103</v>
      </c>
      <c r="C3" s="2"/>
      <c r="D3" s="2" t="s">
        <v>104</v>
      </c>
    </row>
    <row r="4" spans="1:4" ht="25.2">
      <c r="A4" s="2">
        <v>3</v>
      </c>
      <c r="B4" s="2" t="s">
        <v>105</v>
      </c>
      <c r="C4" s="2"/>
      <c r="D4" s="2" t="s">
        <v>104</v>
      </c>
    </row>
    <row r="5" spans="1:4" ht="25.2">
      <c r="A5" s="2">
        <v>4</v>
      </c>
      <c r="B5" s="2"/>
      <c r="C5" s="2"/>
      <c r="D5" s="2" t="s">
        <v>104</v>
      </c>
    </row>
    <row r="6" spans="1:4" ht="25.2">
      <c r="A6" s="2">
        <v>5</v>
      </c>
      <c r="B6" s="2"/>
      <c r="C6" s="2"/>
      <c r="D6" s="2" t="s">
        <v>104</v>
      </c>
    </row>
    <row r="7" spans="1:4" ht="25.2">
      <c r="A7" s="2">
        <v>6</v>
      </c>
      <c r="B7" s="2"/>
      <c r="C7" s="2"/>
      <c r="D7" s="2" t="s">
        <v>104</v>
      </c>
    </row>
    <row r="8" spans="1:4" ht="25.2">
      <c r="A8" s="2">
        <v>7</v>
      </c>
      <c r="B8" s="2"/>
      <c r="C8" s="2"/>
      <c r="D8" s="2" t="s">
        <v>104</v>
      </c>
    </row>
    <row r="9" spans="1:4" ht="25.2">
      <c r="A9" s="2">
        <v>8</v>
      </c>
      <c r="B9" s="2"/>
      <c r="C9" s="2"/>
      <c r="D9" s="2" t="s">
        <v>104</v>
      </c>
    </row>
    <row r="10" spans="1:4" ht="25.2">
      <c r="A10" s="2">
        <v>9</v>
      </c>
      <c r="B10" s="2"/>
      <c r="C10" s="2"/>
      <c r="D10" s="2" t="s">
        <v>104</v>
      </c>
    </row>
    <row r="11" spans="1:4" ht="25.2">
      <c r="A11" s="2">
        <v>10</v>
      </c>
      <c r="B11" s="2"/>
      <c r="C11" s="2"/>
      <c r="D11" s="2" t="s">
        <v>104</v>
      </c>
    </row>
    <row r="12" spans="1:4" ht="25.2">
      <c r="A12" s="2">
        <v>11</v>
      </c>
      <c r="B12" s="2"/>
      <c r="C12" s="2"/>
      <c r="D12" s="2" t="s">
        <v>104</v>
      </c>
    </row>
    <row r="13" spans="1:4" ht="25.2">
      <c r="A13" s="2">
        <v>12</v>
      </c>
      <c r="B13" s="2"/>
      <c r="C13" s="2"/>
      <c r="D13" s="2" t="s">
        <v>104</v>
      </c>
    </row>
    <row r="14" spans="1:4" ht="25.2">
      <c r="A14" s="2">
        <v>13</v>
      </c>
      <c r="B14" s="2"/>
      <c r="C14" s="2"/>
      <c r="D14" s="2" t="s">
        <v>104</v>
      </c>
    </row>
    <row r="15" spans="1:4" ht="25.2">
      <c r="A15" s="2">
        <v>14</v>
      </c>
      <c r="B15" s="2"/>
      <c r="C15" s="2"/>
      <c r="D15" s="2" t="s">
        <v>104</v>
      </c>
    </row>
    <row r="16" spans="1:4" ht="25.2">
      <c r="A16" s="2">
        <v>15</v>
      </c>
      <c r="B16" s="2"/>
      <c r="C16" s="2"/>
      <c r="D16" s="2" t="s">
        <v>104</v>
      </c>
    </row>
    <row r="17" spans="1:4" ht="25.2">
      <c r="A17" s="2">
        <v>16</v>
      </c>
      <c r="B17" s="2"/>
      <c r="C17" s="2"/>
      <c r="D17" s="2" t="s">
        <v>104</v>
      </c>
    </row>
    <row r="18" spans="1:4" ht="25.2">
      <c r="A18" s="2">
        <v>17</v>
      </c>
      <c r="B18" s="2"/>
      <c r="C18" s="2"/>
      <c r="D18" s="2" t="s">
        <v>104</v>
      </c>
    </row>
    <row r="19" spans="1:4" ht="25.2">
      <c r="A19" s="2">
        <v>2</v>
      </c>
      <c r="B19" s="2" t="s">
        <v>103</v>
      </c>
      <c r="C19" s="2" t="s">
        <v>106</v>
      </c>
      <c r="D19" s="2" t="s">
        <v>104</v>
      </c>
    </row>
    <row r="20" spans="1:4" ht="25.2">
      <c r="A20" s="2">
        <v>3</v>
      </c>
      <c r="B20" s="2" t="s">
        <v>105</v>
      </c>
      <c r="C20" s="2" t="s">
        <v>107</v>
      </c>
      <c r="D20" s="2" t="s">
        <v>108</v>
      </c>
    </row>
    <row r="21" spans="1:4" ht="15.75" customHeight="1">
      <c r="A21" s="2">
        <v>4</v>
      </c>
      <c r="B21" s="2" t="s">
        <v>73</v>
      </c>
      <c r="C21" s="2" t="s">
        <v>109</v>
      </c>
      <c r="D21" s="2" t="s">
        <v>110</v>
      </c>
    </row>
    <row r="22" spans="1:4" ht="15.75" customHeight="1">
      <c r="A22" s="2">
        <v>5</v>
      </c>
      <c r="B22" s="2">
        <v>1</v>
      </c>
      <c r="C22" s="2" t="s">
        <v>111</v>
      </c>
      <c r="D22" s="2">
        <v>1</v>
      </c>
    </row>
    <row r="23" spans="1:4" ht="15.75" customHeight="1">
      <c r="A23" s="2">
        <v>6</v>
      </c>
      <c r="B23" s="2" t="s">
        <v>112</v>
      </c>
      <c r="C23" s="2" t="s">
        <v>113</v>
      </c>
      <c r="D23" s="2" t="s">
        <v>114</v>
      </c>
    </row>
    <row r="24" spans="1:4" ht="15.75" customHeight="1">
      <c r="A24" s="2">
        <v>7</v>
      </c>
      <c r="B24" s="2" t="s">
        <v>115</v>
      </c>
      <c r="C24" s="2" t="s">
        <v>116</v>
      </c>
      <c r="D24" s="2" t="s">
        <v>117</v>
      </c>
    </row>
    <row r="25" spans="1:4" ht="15.75" customHeight="1">
      <c r="A25" s="2">
        <v>8</v>
      </c>
      <c r="B25" s="2" t="s">
        <v>118</v>
      </c>
      <c r="C25" s="2" t="s">
        <v>119</v>
      </c>
      <c r="D25" s="2" t="s">
        <v>120</v>
      </c>
    </row>
    <row r="26" spans="1:4" ht="15.75" customHeight="1">
      <c r="A26" s="2">
        <v>9</v>
      </c>
      <c r="B26" s="2" t="s">
        <v>121</v>
      </c>
      <c r="C26" s="2" t="s">
        <v>122</v>
      </c>
      <c r="D26" s="2" t="s">
        <v>123</v>
      </c>
    </row>
    <row r="27" spans="1:4" ht="15.75" customHeight="1">
      <c r="A27" s="2">
        <v>10</v>
      </c>
      <c r="B27" s="2" t="s">
        <v>26</v>
      </c>
      <c r="C27" s="2" t="s">
        <v>124</v>
      </c>
      <c r="D27" s="2" t="s">
        <v>114</v>
      </c>
    </row>
    <row r="28" spans="1:4" ht="15.75" customHeight="1">
      <c r="A28" s="2">
        <v>11</v>
      </c>
      <c r="B28" s="2" t="s">
        <v>125</v>
      </c>
      <c r="C28" s="2" t="s">
        <v>126</v>
      </c>
      <c r="D28" s="2" t="s">
        <v>117</v>
      </c>
    </row>
    <row r="29" spans="1:4" ht="15.75" customHeight="1">
      <c r="A29" s="2">
        <v>12</v>
      </c>
      <c r="B29" s="2" t="s">
        <v>127</v>
      </c>
      <c r="C29" s="2" t="s">
        <v>128</v>
      </c>
      <c r="D29" s="2" t="s">
        <v>120</v>
      </c>
    </row>
    <row r="30" spans="1:4" ht="15.75" customHeight="1">
      <c r="A30" s="2">
        <v>13</v>
      </c>
      <c r="B30" s="2" t="s">
        <v>129</v>
      </c>
      <c r="C30" s="2" t="s">
        <v>130</v>
      </c>
      <c r="D30" s="2" t="s">
        <v>123</v>
      </c>
    </row>
    <row r="31" spans="1:4" ht="15.75" customHeight="1">
      <c r="A31" s="2">
        <v>14</v>
      </c>
      <c r="B31" s="2">
        <v>2</v>
      </c>
      <c r="C31" s="2" t="s">
        <v>131</v>
      </c>
      <c r="D31" s="2">
        <v>1</v>
      </c>
    </row>
    <row r="32" spans="1:4" ht="15.75" customHeight="1">
      <c r="A32" s="2">
        <v>15</v>
      </c>
      <c r="B32" s="2" t="s">
        <v>33</v>
      </c>
      <c r="C32" s="2" t="s">
        <v>132</v>
      </c>
      <c r="D32" s="2" t="s">
        <v>133</v>
      </c>
    </row>
    <row r="33" spans="1:4" ht="15.75" customHeight="1">
      <c r="A33" s="2">
        <v>16</v>
      </c>
      <c r="B33" s="2" t="s">
        <v>134</v>
      </c>
      <c r="C33" s="2" t="s">
        <v>135</v>
      </c>
      <c r="D33" s="2" t="s">
        <v>136</v>
      </c>
    </row>
    <row r="34" spans="1:4" ht="15.75" customHeight="1">
      <c r="A34" s="2">
        <v>17</v>
      </c>
      <c r="B34" s="2" t="s">
        <v>137</v>
      </c>
      <c r="C34" s="2" t="s">
        <v>138</v>
      </c>
      <c r="D34" s="2" t="s">
        <v>139</v>
      </c>
    </row>
    <row r="35" spans="1:4" ht="15.75" customHeight="1">
      <c r="A35" s="2">
        <v>18</v>
      </c>
      <c r="B35" s="2" t="s">
        <v>140</v>
      </c>
      <c r="C35" s="2" t="s">
        <v>141</v>
      </c>
      <c r="D35" s="2" t="s">
        <v>142</v>
      </c>
    </row>
    <row r="36" spans="1:4" ht="15.75" customHeight="1">
      <c r="A36" s="2">
        <v>19</v>
      </c>
      <c r="B36" s="2" t="s">
        <v>35</v>
      </c>
      <c r="C36" s="2" t="s">
        <v>143</v>
      </c>
      <c r="D36" s="2" t="s">
        <v>144</v>
      </c>
    </row>
    <row r="37" spans="1:4" ht="15.75" customHeight="1">
      <c r="A37" s="2">
        <v>20</v>
      </c>
      <c r="B37" s="2" t="s">
        <v>145</v>
      </c>
      <c r="C37" s="2" t="s">
        <v>146</v>
      </c>
      <c r="D37" s="2" t="s">
        <v>136</v>
      </c>
    </row>
    <row r="38" spans="1:4" ht="15.75" customHeight="1">
      <c r="A38" s="2">
        <v>21</v>
      </c>
      <c r="B38" s="2" t="s">
        <v>147</v>
      </c>
      <c r="C38" s="2" t="s">
        <v>148</v>
      </c>
      <c r="D38" s="2" t="s">
        <v>139</v>
      </c>
    </row>
    <row r="39" spans="1:4" ht="15.75" customHeight="1">
      <c r="A39" s="2">
        <v>22</v>
      </c>
      <c r="B39" s="2" t="s">
        <v>149</v>
      </c>
      <c r="C39" s="2" t="s">
        <v>150</v>
      </c>
      <c r="D39" s="2" t="s">
        <v>142</v>
      </c>
    </row>
    <row r="40" spans="1:4" ht="15.75" customHeight="1">
      <c r="A40" s="2">
        <v>23</v>
      </c>
      <c r="B40" s="2">
        <v>3</v>
      </c>
      <c r="C40" s="2" t="s">
        <v>151</v>
      </c>
      <c r="D40" s="2">
        <v>1</v>
      </c>
    </row>
    <row r="41" spans="1:4" ht="15.75" customHeight="1">
      <c r="A41" s="2">
        <v>24</v>
      </c>
      <c r="B41" s="2" t="s">
        <v>152</v>
      </c>
      <c r="C41" s="2" t="s">
        <v>153</v>
      </c>
      <c r="D41" s="2" t="s">
        <v>154</v>
      </c>
    </row>
    <row r="42" spans="1:4" ht="15.75" customHeight="1">
      <c r="A42" s="2">
        <v>25</v>
      </c>
      <c r="B42" s="2" t="s">
        <v>155</v>
      </c>
      <c r="C42" s="2" t="s">
        <v>156</v>
      </c>
      <c r="D42" s="2" t="s">
        <v>157</v>
      </c>
    </row>
    <row r="43" spans="1:4" ht="15.75" customHeight="1">
      <c r="A43" s="2">
        <v>26</v>
      </c>
      <c r="B43" s="2" t="s">
        <v>158</v>
      </c>
      <c r="C43" s="2" t="s">
        <v>159</v>
      </c>
      <c r="D43" s="2" t="s">
        <v>160</v>
      </c>
    </row>
    <row r="44" spans="1:4" ht="15.75" customHeight="1">
      <c r="A44" s="2">
        <v>27</v>
      </c>
      <c r="B44" s="2" t="s">
        <v>161</v>
      </c>
      <c r="C44" s="2" t="s">
        <v>162</v>
      </c>
      <c r="D44" s="2" t="s">
        <v>163</v>
      </c>
    </row>
    <row r="45" spans="1:4" ht="15.75" customHeight="1">
      <c r="A45" s="2">
        <v>28</v>
      </c>
      <c r="B45" s="2" t="s">
        <v>164</v>
      </c>
      <c r="C45" s="2" t="s">
        <v>165</v>
      </c>
      <c r="D45" s="2" t="s">
        <v>154</v>
      </c>
    </row>
    <row r="46" spans="1:4" ht="15.75" customHeight="1">
      <c r="A46" s="2">
        <v>29</v>
      </c>
      <c r="B46" s="2" t="s">
        <v>166</v>
      </c>
      <c r="C46" s="2" t="s">
        <v>167</v>
      </c>
      <c r="D46" s="2" t="s">
        <v>157</v>
      </c>
    </row>
    <row r="47" spans="1:4" ht="15.75" customHeight="1">
      <c r="A47" s="2">
        <v>30</v>
      </c>
      <c r="B47" s="2" t="s">
        <v>168</v>
      </c>
      <c r="C47" s="2" t="s">
        <v>169</v>
      </c>
      <c r="D47" s="2" t="s">
        <v>160</v>
      </c>
    </row>
    <row r="48" spans="1:4" ht="15.75" customHeight="1">
      <c r="A48" s="2">
        <v>31</v>
      </c>
      <c r="B48" s="2" t="s">
        <v>170</v>
      </c>
      <c r="C48" s="2" t="s">
        <v>171</v>
      </c>
      <c r="D48" s="2" t="s">
        <v>163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00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ColWidth="14.44140625" defaultRowHeight="15" customHeight="1"/>
  <cols>
    <col min="1" max="3" width="9.109375" customWidth="1"/>
    <col min="4" max="4" width="27.33203125" customWidth="1"/>
    <col min="5" max="6" width="9.109375" customWidth="1"/>
    <col min="7" max="7" width="10.44140625" customWidth="1"/>
    <col min="8" max="35" width="9.109375" customWidth="1"/>
    <col min="36" max="36" width="9.33203125" customWidth="1"/>
    <col min="37" max="44" width="7.5546875" customWidth="1"/>
    <col min="45" max="45" width="9.33203125" customWidth="1"/>
    <col min="46" max="47" width="7.5546875" customWidth="1"/>
    <col min="48" max="48" width="9.33203125" customWidth="1"/>
    <col min="49" max="61" width="7.5546875" customWidth="1"/>
    <col min="62" max="62" width="13.5546875" customWidth="1"/>
    <col min="63" max="63" width="9.109375" customWidth="1"/>
  </cols>
  <sheetData>
    <row r="1" spans="1:63" ht="14.4">
      <c r="A1" s="3"/>
      <c r="B1" s="3"/>
      <c r="C1" s="3"/>
      <c r="D1" s="4"/>
      <c r="E1" s="3"/>
      <c r="F1" s="3" t="s">
        <v>172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5"/>
      <c r="AE1" s="5" t="s">
        <v>2</v>
      </c>
      <c r="AF1" s="3"/>
      <c r="AG1" s="3"/>
      <c r="AH1" s="3"/>
      <c r="AI1" s="6"/>
      <c r="AJ1" s="7"/>
      <c r="AK1" s="8"/>
      <c r="AL1" s="7"/>
      <c r="AM1" s="4"/>
      <c r="AN1" s="7"/>
      <c r="AO1" s="7"/>
      <c r="AP1" s="7"/>
      <c r="AQ1" s="4"/>
      <c r="AR1" s="7"/>
      <c r="AS1" s="4"/>
      <c r="AT1" s="7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</row>
    <row r="2" spans="1:63" ht="14.4">
      <c r="A2" s="3"/>
      <c r="B2" s="3"/>
      <c r="C2" s="3"/>
      <c r="D2" s="4"/>
      <c r="E2" s="3"/>
      <c r="F2" s="5" t="s">
        <v>173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5"/>
      <c r="AE2" s="5" t="s">
        <v>174</v>
      </c>
      <c r="AF2" s="3"/>
      <c r="AG2" s="3"/>
      <c r="AH2" s="3"/>
      <c r="AI2" s="6"/>
      <c r="AJ2" s="7"/>
      <c r="AK2" s="8"/>
      <c r="AL2" s="7"/>
      <c r="AM2" s="4"/>
      <c r="AN2" s="7"/>
      <c r="AO2" s="7"/>
      <c r="AP2" s="7"/>
      <c r="AQ2" s="4"/>
      <c r="AR2" s="7"/>
      <c r="AS2" s="4"/>
      <c r="AT2" s="7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</row>
    <row r="3" spans="1:63" ht="14.4">
      <c r="A3" s="3"/>
      <c r="B3" s="3"/>
      <c r="C3" s="3"/>
      <c r="D3" s="4"/>
      <c r="E3" s="3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3"/>
      <c r="AH3" s="3"/>
      <c r="AI3" s="6"/>
      <c r="AJ3" s="7"/>
      <c r="AK3" s="8"/>
      <c r="AL3" s="7"/>
      <c r="AM3" s="4"/>
      <c r="AN3" s="7"/>
      <c r="AO3" s="7"/>
      <c r="AP3" s="7"/>
      <c r="AQ3" s="4"/>
      <c r="AR3" s="7"/>
      <c r="AS3" s="4"/>
      <c r="AT3" s="7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</row>
    <row r="4" spans="1:63" ht="18.600000000000001">
      <c r="A4" s="333" t="s">
        <v>175</v>
      </c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4"/>
      <c r="AD4" s="334"/>
      <c r="AE4" s="334"/>
      <c r="AF4" s="334"/>
      <c r="AG4" s="334"/>
      <c r="AH4" s="334"/>
      <c r="AI4" s="334"/>
      <c r="AJ4" s="334"/>
      <c r="AK4" s="334"/>
      <c r="AL4" s="334"/>
      <c r="AM4" s="334"/>
      <c r="AN4" s="334"/>
      <c r="AO4" s="334"/>
      <c r="AP4" s="334"/>
      <c r="AQ4" s="334"/>
      <c r="AR4" s="334"/>
      <c r="AS4" s="334"/>
      <c r="AT4" s="334"/>
      <c r="AU4" s="33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 spans="1:63" ht="18.600000000000001">
      <c r="A5" s="333" t="s">
        <v>176</v>
      </c>
      <c r="B5" s="334"/>
      <c r="C5" s="334"/>
      <c r="D5" s="334"/>
      <c r="E5" s="334"/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/>
      <c r="V5" s="334"/>
      <c r="W5" s="334"/>
      <c r="X5" s="334"/>
      <c r="Y5" s="334"/>
      <c r="Z5" s="334"/>
      <c r="AA5" s="334"/>
      <c r="AB5" s="334"/>
      <c r="AC5" s="334"/>
      <c r="AD5" s="334"/>
      <c r="AE5" s="334"/>
      <c r="AF5" s="334"/>
      <c r="AG5" s="334"/>
      <c r="AH5" s="334"/>
      <c r="AI5" s="334"/>
      <c r="AJ5" s="334"/>
      <c r="AK5" s="334"/>
      <c r="AL5" s="334"/>
      <c r="AM5" s="334"/>
      <c r="AN5" s="334"/>
      <c r="AO5" s="334"/>
      <c r="AP5" s="334"/>
      <c r="AQ5" s="334"/>
      <c r="AR5" s="334"/>
      <c r="AS5" s="334"/>
      <c r="AT5" s="334"/>
      <c r="AU5" s="33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</row>
    <row r="6" spans="1:63" ht="18.600000000000001">
      <c r="A6" s="3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1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4"/>
    </row>
    <row r="7" spans="1:63" ht="14.4">
      <c r="A7" s="11"/>
      <c r="B7" s="12"/>
      <c r="C7" s="11"/>
      <c r="D7" s="13"/>
      <c r="E7" s="326" t="s">
        <v>5</v>
      </c>
      <c r="F7" s="335"/>
      <c r="G7" s="335"/>
      <c r="H7" s="335"/>
      <c r="I7" s="335"/>
      <c r="J7" s="335"/>
      <c r="K7" s="335"/>
      <c r="L7" s="335"/>
      <c r="M7" s="335"/>
      <c r="N7" s="335"/>
      <c r="O7" s="335"/>
      <c r="P7" s="335"/>
      <c r="Q7" s="335"/>
      <c r="R7" s="335"/>
      <c r="S7" s="335"/>
      <c r="T7" s="335"/>
      <c r="U7" s="335"/>
      <c r="V7" s="335"/>
      <c r="W7" s="335"/>
      <c r="X7" s="335"/>
      <c r="Y7" s="335"/>
      <c r="Z7" s="335"/>
      <c r="AA7" s="335"/>
      <c r="AB7" s="335"/>
      <c r="AC7" s="335"/>
      <c r="AD7" s="335"/>
      <c r="AE7" s="335"/>
      <c r="AF7" s="335"/>
      <c r="AG7" s="335"/>
      <c r="AH7" s="335"/>
      <c r="AI7" s="327"/>
      <c r="AJ7" s="336" t="s">
        <v>177</v>
      </c>
      <c r="AK7" s="335"/>
      <c r="AL7" s="335"/>
      <c r="AM7" s="335"/>
      <c r="AN7" s="335"/>
      <c r="AO7" s="335"/>
      <c r="AP7" s="335"/>
      <c r="AQ7" s="335"/>
      <c r="AR7" s="335"/>
      <c r="AS7" s="335"/>
      <c r="AT7" s="335"/>
      <c r="AU7" s="335"/>
      <c r="AV7" s="327"/>
      <c r="AW7" s="336" t="s">
        <v>178</v>
      </c>
      <c r="AX7" s="335"/>
      <c r="AY7" s="335"/>
      <c r="AZ7" s="335"/>
      <c r="BA7" s="335"/>
      <c r="BB7" s="335"/>
      <c r="BC7" s="335"/>
      <c r="BD7" s="335"/>
      <c r="BE7" s="335"/>
      <c r="BF7" s="335"/>
      <c r="BG7" s="335"/>
      <c r="BH7" s="335"/>
      <c r="BI7" s="335"/>
      <c r="BJ7" s="327"/>
      <c r="BK7" s="13"/>
    </row>
    <row r="8" spans="1:63" ht="73.5" customHeight="1">
      <c r="A8" s="14" t="s">
        <v>179</v>
      </c>
      <c r="B8" s="15" t="s">
        <v>8</v>
      </c>
      <c r="C8" s="14" t="s">
        <v>9</v>
      </c>
      <c r="D8" s="14" t="s">
        <v>180</v>
      </c>
      <c r="E8" s="16">
        <v>1</v>
      </c>
      <c r="F8" s="14">
        <v>2</v>
      </c>
      <c r="G8" s="14">
        <v>3</v>
      </c>
      <c r="H8" s="14">
        <v>4</v>
      </c>
      <c r="I8" s="14">
        <v>5</v>
      </c>
      <c r="J8" s="14">
        <v>6</v>
      </c>
      <c r="K8" s="14">
        <v>7</v>
      </c>
      <c r="L8" s="14">
        <v>8</v>
      </c>
      <c r="M8" s="14">
        <v>9</v>
      </c>
      <c r="N8" s="14">
        <v>10</v>
      </c>
      <c r="O8" s="14">
        <v>11</v>
      </c>
      <c r="P8" s="14">
        <v>12</v>
      </c>
      <c r="Q8" s="14">
        <v>13</v>
      </c>
      <c r="R8" s="14">
        <v>14</v>
      </c>
      <c r="S8" s="14">
        <v>15</v>
      </c>
      <c r="T8" s="14">
        <v>16</v>
      </c>
      <c r="U8" s="14">
        <v>17</v>
      </c>
      <c r="V8" s="14">
        <v>18</v>
      </c>
      <c r="W8" s="14">
        <v>19</v>
      </c>
      <c r="X8" s="14">
        <v>20</v>
      </c>
      <c r="Y8" s="14">
        <v>21</v>
      </c>
      <c r="Z8" s="14">
        <v>22</v>
      </c>
      <c r="AA8" s="14">
        <v>23</v>
      </c>
      <c r="AB8" s="14">
        <v>24</v>
      </c>
      <c r="AC8" s="14">
        <v>25</v>
      </c>
      <c r="AD8" s="14">
        <v>26</v>
      </c>
      <c r="AE8" s="16">
        <v>27</v>
      </c>
      <c r="AF8" s="16">
        <v>28</v>
      </c>
      <c r="AG8" s="16">
        <v>29</v>
      </c>
      <c r="AH8" s="16">
        <v>30</v>
      </c>
      <c r="AI8" s="16">
        <v>31</v>
      </c>
      <c r="AJ8" s="17" t="s">
        <v>12</v>
      </c>
      <c r="AK8" s="18" t="s">
        <v>13</v>
      </c>
      <c r="AL8" s="17" t="s">
        <v>14</v>
      </c>
      <c r="AM8" s="14" t="s">
        <v>181</v>
      </c>
      <c r="AN8" s="17" t="s">
        <v>15</v>
      </c>
      <c r="AO8" s="17" t="s">
        <v>182</v>
      </c>
      <c r="AP8" s="17" t="s">
        <v>183</v>
      </c>
      <c r="AQ8" s="14" t="s">
        <v>184</v>
      </c>
      <c r="AR8" s="19" t="s">
        <v>185</v>
      </c>
      <c r="AS8" s="14" t="s">
        <v>186</v>
      </c>
      <c r="AT8" s="19" t="s">
        <v>86</v>
      </c>
      <c r="AU8" s="14" t="s">
        <v>187</v>
      </c>
      <c r="AV8" s="14" t="s">
        <v>78</v>
      </c>
      <c r="AW8" s="20" t="s">
        <v>12</v>
      </c>
      <c r="AX8" s="21" t="s">
        <v>13</v>
      </c>
      <c r="AY8" s="20" t="s">
        <v>14</v>
      </c>
      <c r="AZ8" s="22" t="s">
        <v>181</v>
      </c>
      <c r="BA8" s="20" t="s">
        <v>15</v>
      </c>
      <c r="BB8" s="20" t="s">
        <v>182</v>
      </c>
      <c r="BC8" s="20" t="s">
        <v>183</v>
      </c>
      <c r="BD8" s="22" t="s">
        <v>184</v>
      </c>
      <c r="BE8" s="20" t="s">
        <v>185</v>
      </c>
      <c r="BF8" s="22" t="s">
        <v>186</v>
      </c>
      <c r="BG8" s="20" t="s">
        <v>86</v>
      </c>
      <c r="BH8" s="22" t="s">
        <v>187</v>
      </c>
      <c r="BI8" s="22" t="s">
        <v>78</v>
      </c>
      <c r="BJ8" s="22" t="s">
        <v>22</v>
      </c>
      <c r="BK8" s="14" t="s">
        <v>23</v>
      </c>
    </row>
    <row r="9" spans="1:63" ht="14.4">
      <c r="A9" s="23">
        <v>1</v>
      </c>
      <c r="B9" s="24" t="s">
        <v>188</v>
      </c>
      <c r="C9" s="23">
        <v>7212</v>
      </c>
      <c r="D9" s="25" t="s">
        <v>189</v>
      </c>
      <c r="E9" s="23" t="s">
        <v>190</v>
      </c>
      <c r="F9" s="23" t="s">
        <v>29</v>
      </c>
      <c r="G9" s="23" t="s">
        <v>29</v>
      </c>
      <c r="H9" s="23" t="s">
        <v>29</v>
      </c>
      <c r="I9" s="23" t="s">
        <v>29</v>
      </c>
      <c r="J9" s="23" t="s">
        <v>29</v>
      </c>
      <c r="K9" s="23" t="s">
        <v>29</v>
      </c>
      <c r="L9" s="23" t="s">
        <v>29</v>
      </c>
      <c r="M9" s="23" t="s">
        <v>29</v>
      </c>
      <c r="N9" s="23" t="s">
        <v>29</v>
      </c>
      <c r="O9" s="23" t="s">
        <v>29</v>
      </c>
      <c r="P9" s="23"/>
      <c r="Q9" s="23" t="s">
        <v>29</v>
      </c>
      <c r="R9" s="23" t="s">
        <v>29</v>
      </c>
      <c r="S9" s="23" t="s">
        <v>29</v>
      </c>
      <c r="T9" s="23" t="s">
        <v>29</v>
      </c>
      <c r="U9" s="23" t="s">
        <v>29</v>
      </c>
      <c r="V9" s="23" t="s">
        <v>29</v>
      </c>
      <c r="W9" s="23" t="s">
        <v>29</v>
      </c>
      <c r="X9" s="23"/>
      <c r="Y9" s="23" t="s">
        <v>29</v>
      </c>
      <c r="Z9" s="23" t="s">
        <v>29</v>
      </c>
      <c r="AA9" s="23" t="s">
        <v>29</v>
      </c>
      <c r="AB9" s="23" t="s">
        <v>29</v>
      </c>
      <c r="AC9" s="23"/>
      <c r="AD9" s="23"/>
      <c r="AE9" s="23"/>
      <c r="AF9" s="23" t="s">
        <v>191</v>
      </c>
      <c r="AG9" s="23" t="s">
        <v>191</v>
      </c>
      <c r="AH9" s="23"/>
      <c r="AI9" s="26"/>
      <c r="AJ9" s="27">
        <f t="array" ref="AJ9">SUM(COUNTIFS(E9:AI9,{"1";"1, C1";"1, C2";"C2, 1";"C1, 1"}))</f>
        <v>0</v>
      </c>
      <c r="AK9" s="28">
        <f t="array" ref="AK9">SUM(COUNTIFS(E9:AI9,"S1"))/2</f>
        <v>0</v>
      </c>
      <c r="AL9" s="27">
        <f t="array" ref="AL9">SUM(COUNTIFS(E9:AI9,{"S2";"S2, 2";"S2, C1";"S2, C2";"2, S2";"C1, S2";"C2, S2";"3, S2";"S2, 3"}))/2</f>
        <v>0</v>
      </c>
      <c r="AM9" s="29">
        <f t="shared" ref="AM9:AM35" si="0">AJ9+AK9+AL9</f>
        <v>0</v>
      </c>
      <c r="AN9" s="27">
        <f t="array" ref="AN9">SUM(COUNTIFS(E9:AI9,{"2";"2, S2";"S2, 2"}))</f>
        <v>0</v>
      </c>
      <c r="AO9" s="27">
        <f t="array" ref="AO9">SUM(COUNTIFS(E9:AI9,{"1, C1";"C1";"C1, 3";"C1, C2";"S2, C1";"C1, 1";"3, C1";"C2, C1";"C1, S2"}))/2</f>
        <v>0</v>
      </c>
      <c r="AP9" s="27">
        <f t="array" ref="AP9">SUM(COUNTIFS(E9:AI9,{"1, C2";"C1, C2";"C2";"C2, 3";"S2, C2";"C2, 1";"C2, C1";"3, C2";"C2, S2";"C2, HC";"HC, C2"}))/2</f>
        <v>0</v>
      </c>
      <c r="AQ9" s="29">
        <f t="shared" ref="AQ9:AQ35" si="1">AN9+AO9+AP9</f>
        <v>0</v>
      </c>
      <c r="AR9" s="27">
        <f t="array" ref="AR9">SUM(COUNTIFS(E9:AI9,{"GR";"HC";"KT";"QA";"C2, HC";"HC, C2"}))+SUM(COUNTIFS(E9:AI9,{"HC1";"HC2"}))/2</f>
        <v>21</v>
      </c>
      <c r="AS9" s="29">
        <f t="shared" ref="AS9:AS35" si="2">AM9+AQ9+AR9</f>
        <v>21</v>
      </c>
      <c r="AT9" s="27">
        <f t="array" ref="AT9">SUM(COUNTIFS(E9:AI9,{"3";"C1, 3";"C2, 3";"3, C1";"3, C2";"3, S2";"S2, 3"}))</f>
        <v>0</v>
      </c>
      <c r="AU9" s="27">
        <f t="array" ref="AU9">SUM(COUNTIFS(E9:AI9,"HCKT"))</f>
        <v>0</v>
      </c>
      <c r="AV9" s="29">
        <f t="shared" ref="AV9:AV35" si="3">AS9+AT9+AU9</f>
        <v>21</v>
      </c>
      <c r="AW9" s="29">
        <f t="array" ref="AW9">SUM(COUNTIFS(E9:AI9,{"L 1";"L 1, C1";"L 1, C2";"L C2, 1";"L C1, 1"}))</f>
        <v>2</v>
      </c>
      <c r="AX9" s="29">
        <f t="array" ref="AX9">SUM(COUNTIFS(E9:AI9,"L S1"))/2</f>
        <v>0</v>
      </c>
      <c r="AY9" s="29">
        <f t="array" ref="AY9">SUM(COUNTIFS(E9:AI9,{"L S2";"L S2, 2";"L S2, C1";"L S2, C2";"L 2, S2";"L C1, S2";"L C2, S2";"L 3, S2";"L S2, 3"}))/2</f>
        <v>0.5</v>
      </c>
      <c r="AZ9" s="29">
        <f t="shared" ref="AZ9:AZ35" si="4">AW9+AX9+AY9</f>
        <v>2.5</v>
      </c>
      <c r="BA9" s="29">
        <f t="array" ref="BA9">SUM(COUNTIFS(E9:AI9,{"L 2";"L 2, S2";"L S2, 2"}))</f>
        <v>0</v>
      </c>
      <c r="BB9" s="29">
        <f t="array" ref="BB9">SUM(COUNTIFS(E9:AI9,{"L 1, C1";"L C1";"L C1, 3";"L C1, C2";"L S2, C1";"L C1, 1";"L 3, C1";"L C2, C1";"L C1, S2"}))/2</f>
        <v>0.5</v>
      </c>
      <c r="BC9" s="29">
        <f t="array" ref="BC9">SUM(COUNTIFS(E9:AI9,{"L 1, C2";"L C1, C2";"L C2";"L C2, 3";"L S2, C2";"L C2, 1";"L C2, C1";"L 3, C2";"L C2, S2";"L C2, HC";"L HC, C2"}))/2</f>
        <v>0</v>
      </c>
      <c r="BD9" s="29">
        <f t="shared" ref="BD9:BD35" si="5">BA9+BB9+BC9</f>
        <v>0.5</v>
      </c>
      <c r="BE9" s="29">
        <f t="array" ref="BE9">SUM(COUNTIFS(E9:AI9,{"L GR";"L HC";"L KT";"L QA";"L C2, HC";"L HC, C2"}))+SUM(COUNTIFS(E9:AI9,{"L HC1";"L HC2"}))/2</f>
        <v>0</v>
      </c>
      <c r="BF9" s="29">
        <f t="shared" ref="BF9:BF35" si="6">AZ9+BD9+BE9</f>
        <v>3</v>
      </c>
      <c r="BG9" s="29">
        <f t="array" ref="BG9">SUM(COUNTIFS(E9:AI9,{"L 3";"L C1, 3";"L C2, 3";"L 3, C1";"L 3, C2";"L 3, S2";"L S2, 3"}))</f>
        <v>0</v>
      </c>
      <c r="BH9" s="29">
        <f t="array" ref="BH9">SUM(COUNTIFS(E9:AI9,"L HCKT"))</f>
        <v>0</v>
      </c>
      <c r="BI9" s="29">
        <f t="shared" ref="BI9:BI35" si="7">BF9+BG9+BH9</f>
        <v>3</v>
      </c>
      <c r="BJ9" s="29"/>
      <c r="BK9" s="25"/>
    </row>
    <row r="10" spans="1:63" ht="14.4">
      <c r="A10" s="23">
        <v>2</v>
      </c>
      <c r="B10" s="24" t="s">
        <v>188</v>
      </c>
      <c r="C10" s="23">
        <v>7213</v>
      </c>
      <c r="D10" s="25" t="s">
        <v>192</v>
      </c>
      <c r="E10" s="23"/>
      <c r="F10" s="23" t="s">
        <v>29</v>
      </c>
      <c r="G10" s="23" t="s">
        <v>29</v>
      </c>
      <c r="H10" s="23" t="s">
        <v>29</v>
      </c>
      <c r="I10" s="23"/>
      <c r="J10" s="23" t="s">
        <v>29</v>
      </c>
      <c r="K10" s="23" t="s">
        <v>29</v>
      </c>
      <c r="L10" s="23" t="s">
        <v>193</v>
      </c>
      <c r="M10" s="23" t="s">
        <v>29</v>
      </c>
      <c r="N10" s="23" t="s">
        <v>26</v>
      </c>
      <c r="O10" s="23" t="s">
        <v>29</v>
      </c>
      <c r="P10" s="23"/>
      <c r="Q10" s="23" t="s">
        <v>29</v>
      </c>
      <c r="R10" s="23" t="s">
        <v>29</v>
      </c>
      <c r="S10" s="23" t="s">
        <v>29</v>
      </c>
      <c r="T10" s="23" t="s">
        <v>29</v>
      </c>
      <c r="U10" s="23" t="s">
        <v>26</v>
      </c>
      <c r="V10" s="23" t="s">
        <v>29</v>
      </c>
      <c r="W10" s="23"/>
      <c r="X10" s="23" t="s">
        <v>29</v>
      </c>
      <c r="Y10" s="23" t="s">
        <v>29</v>
      </c>
      <c r="Z10" s="23" t="s">
        <v>29</v>
      </c>
      <c r="AA10" s="23" t="s">
        <v>29</v>
      </c>
      <c r="AB10" s="23" t="s">
        <v>29</v>
      </c>
      <c r="AC10" s="23" t="s">
        <v>29</v>
      </c>
      <c r="AD10" s="23" t="s">
        <v>26</v>
      </c>
      <c r="AE10" s="23" t="s">
        <v>190</v>
      </c>
      <c r="AF10" s="23"/>
      <c r="AG10" s="23"/>
      <c r="AH10" s="23"/>
      <c r="AI10" s="26"/>
      <c r="AJ10" s="27">
        <f t="array" ref="AJ10">SUM(COUNTIFS(E10:AI10,{"1";"1, C1";"1, C2";"C2, 1";"C1, 1"}))</f>
        <v>0</v>
      </c>
      <c r="AK10" s="28">
        <f t="array" ref="AK10">SUM(COUNTIFS(E10:AI10,"S1"))/2</f>
        <v>0</v>
      </c>
      <c r="AL10" s="27">
        <f t="array" ref="AL10">SUM(COUNTIFS(E10:AI10,{"S2";"S2, 2";"S2, C1";"S2, C2";"2, S2";"C1, S2";"C2, S2";"3, S2";"S2, 3"}))/2</f>
        <v>2</v>
      </c>
      <c r="AM10" s="29">
        <f t="shared" si="0"/>
        <v>2</v>
      </c>
      <c r="AN10" s="27">
        <f t="array" ref="AN10">SUM(COUNTIFS(E10:AI10,{"2";"2, S2";"S2, 2"}))</f>
        <v>0</v>
      </c>
      <c r="AO10" s="27">
        <f t="array" ref="AO10">SUM(COUNTIFS(E10:AI10,{"1, C1";"C1";"C1, 3";"C1, C2";"S2, C1";"C1, 1";"3, C1";"C2, C1";"C1, S2"}))/2</f>
        <v>0.5</v>
      </c>
      <c r="AP10" s="27">
        <f t="array" ref="AP10">SUM(COUNTIFS(E10:AI10,{"1, C2";"C1, C2";"C2";"C2, 3";"S2, C2";"C2, 1";"C2, C1";"3, C2";"C2, S2";"C2, HC";"HC, C2"}))/2</f>
        <v>0</v>
      </c>
      <c r="AQ10" s="29">
        <f t="shared" si="1"/>
        <v>0.5</v>
      </c>
      <c r="AR10" s="27">
        <f t="array" ref="AR10">SUM(COUNTIFS(E10:AI10,{"GR";"HC";"KT";"QA";"C2, HC";"HC, C2"}))+SUM(COUNTIFS(E10:AI10,{"HC1";"HC2"}))/2</f>
        <v>18</v>
      </c>
      <c r="AS10" s="29">
        <f t="shared" si="2"/>
        <v>20.5</v>
      </c>
      <c r="AT10" s="27">
        <f t="array" ref="AT10">SUM(COUNTIFS(E10:AI10,{"3";"C1, 3";"C2, 3";"3, C1";"3, C2";"3, S2";"S2, 3"}))</f>
        <v>0</v>
      </c>
      <c r="AU10" s="27">
        <f t="array" ref="AU10">SUM(COUNTIFS(E10:AI10,"HCKT"))</f>
        <v>0</v>
      </c>
      <c r="AV10" s="29">
        <f t="shared" si="3"/>
        <v>20.5</v>
      </c>
      <c r="AW10" s="29">
        <f t="array" ref="AW10">SUM(COUNTIFS(E10:AI10,{"L 1";"L 1, C1";"L 1, C2";"L C2, 1";"L C1, 1"}))</f>
        <v>0</v>
      </c>
      <c r="AX10" s="29">
        <f t="array" ref="AX10">SUM(COUNTIFS(E10:AI10,"L S1"))/2</f>
        <v>0</v>
      </c>
      <c r="AY10" s="29">
        <f t="array" ref="AY10">SUM(COUNTIFS(E10:AI10,{"L S2";"L S2, 2";"L S2, C1";"L S2, C2";"L 2, S2";"L C1, S2";"L C2, S2";"L 3, S2";"L S2, 3"}))/2</f>
        <v>0.5</v>
      </c>
      <c r="AZ10" s="29">
        <f t="shared" si="4"/>
        <v>0.5</v>
      </c>
      <c r="BA10" s="29">
        <f t="array" ref="BA10">SUM(COUNTIFS(E10:AI10,{"L 2";"L 2, S2";"L S2, 2"}))</f>
        <v>0</v>
      </c>
      <c r="BB10" s="29">
        <f t="array" ref="BB10">SUM(COUNTIFS(E10:AI10,{"L 1, C1";"L C1";"L C1, 3";"L C1, C2";"L S2, C1";"L C1, 1";"L 3, C1";"L C2, C1";"L C1, S2"}))/2</f>
        <v>0.5</v>
      </c>
      <c r="BC10" s="29">
        <f t="array" ref="BC10">SUM(COUNTIFS(E10:AI10,{"L 1, C2";"L C1, C2";"L C2";"L C2, 3";"L S2, C2";"L C2, 1";"L C2, C1";"L 3, C2";"L C2, S2";"L C2, HC";"L HC, C2"}))/2</f>
        <v>0</v>
      </c>
      <c r="BD10" s="29">
        <f t="shared" si="5"/>
        <v>0.5</v>
      </c>
      <c r="BE10" s="29">
        <f t="array" ref="BE10">SUM(COUNTIFS(E10:AI10,{"L GR";"L HC";"L KT";"L QA";"L C2, HC";"L HC, C2"}))+SUM(COUNTIFS(E10:AI10,{"L HC1";"L HC2"}))/2</f>
        <v>0</v>
      </c>
      <c r="BF10" s="29">
        <f t="shared" si="6"/>
        <v>1</v>
      </c>
      <c r="BG10" s="29">
        <f t="array" ref="BG10">SUM(COUNTIFS(E10:AI10,{"L 3";"L C1, 3";"L C2, 3";"L 3, C1";"L 3, C2";"L 3, S2";"L S2, 3"}))</f>
        <v>0</v>
      </c>
      <c r="BH10" s="29">
        <f t="array" ref="BH10">SUM(COUNTIFS(E10:AI10,"L HCKT"))</f>
        <v>0</v>
      </c>
      <c r="BI10" s="29">
        <f t="shared" si="7"/>
        <v>1</v>
      </c>
      <c r="BJ10" s="29"/>
      <c r="BK10" s="25"/>
    </row>
    <row r="11" spans="1:63" ht="14.4">
      <c r="A11" s="23">
        <v>3</v>
      </c>
      <c r="B11" s="24" t="s">
        <v>188</v>
      </c>
      <c r="C11" s="23">
        <v>7216</v>
      </c>
      <c r="D11" s="25" t="s">
        <v>194</v>
      </c>
      <c r="E11" s="23"/>
      <c r="F11" s="23" t="s">
        <v>29</v>
      </c>
      <c r="G11" s="23" t="s">
        <v>29</v>
      </c>
      <c r="H11" s="23" t="s">
        <v>32</v>
      </c>
      <c r="I11" s="30" t="s">
        <v>193</v>
      </c>
      <c r="J11" s="23" t="s">
        <v>32</v>
      </c>
      <c r="K11" s="23" t="s">
        <v>32</v>
      </c>
      <c r="L11" s="23" t="s">
        <v>193</v>
      </c>
      <c r="M11" s="23" t="s">
        <v>29</v>
      </c>
      <c r="N11" s="23" t="s">
        <v>29</v>
      </c>
      <c r="O11" s="23" t="s">
        <v>29</v>
      </c>
      <c r="P11" s="23" t="s">
        <v>26</v>
      </c>
      <c r="Q11" s="23" t="s">
        <v>193</v>
      </c>
      <c r="R11" s="23" t="s">
        <v>29</v>
      </c>
      <c r="S11" s="23" t="s">
        <v>32</v>
      </c>
      <c r="T11" s="23" t="s">
        <v>32</v>
      </c>
      <c r="U11" s="23" t="s">
        <v>32</v>
      </c>
      <c r="V11" s="23" t="s">
        <v>32</v>
      </c>
      <c r="W11" s="23"/>
      <c r="X11" s="23" t="s">
        <v>27</v>
      </c>
      <c r="Y11" s="23" t="s">
        <v>29</v>
      </c>
      <c r="Z11" s="23" t="s">
        <v>193</v>
      </c>
      <c r="AA11" s="23" t="s">
        <v>29</v>
      </c>
      <c r="AB11" s="23" t="s">
        <v>29</v>
      </c>
      <c r="AC11" s="23" t="s">
        <v>29</v>
      </c>
      <c r="AD11" s="23"/>
      <c r="AE11" s="23"/>
      <c r="AF11" s="23"/>
      <c r="AG11" s="23"/>
      <c r="AH11" s="23" t="s">
        <v>191</v>
      </c>
      <c r="AI11" s="23" t="s">
        <v>191</v>
      </c>
      <c r="AJ11" s="27">
        <f t="array" ref="AJ11">SUM(COUNTIFS(E11:AI11,{"1";"1, C1";"1, C2";"C2, 1";"C1, 1"}))</f>
        <v>1</v>
      </c>
      <c r="AK11" s="28">
        <f t="array" ref="AK11">SUM(COUNTIFS(E11:AI11,"S1"))/2</f>
        <v>0</v>
      </c>
      <c r="AL11" s="27">
        <f t="array" ref="AL11">SUM(COUNTIFS(E11:AI11,{"S2";"S2, 2";"S2, C1";"S2, C2";"2, S2";"C1, S2";"C2, S2";"3, S2";"S2, 3"}))/2</f>
        <v>6</v>
      </c>
      <c r="AM11" s="29">
        <f t="shared" si="0"/>
        <v>7</v>
      </c>
      <c r="AN11" s="27">
        <f t="array" ref="AN11">SUM(COUNTIFS(E11:AI11,{"2";"2, S2";"S2, 2"}))</f>
        <v>7</v>
      </c>
      <c r="AO11" s="27">
        <f t="array" ref="AO11">SUM(COUNTIFS(E11:AI11,{"1, C1";"C1";"C1, 3";"C1, C2";"S2, C1";"C1, 1";"3, C1";"C2, C1";"C1, S2"}))/2</f>
        <v>2.5</v>
      </c>
      <c r="AP11" s="27">
        <f t="array" ref="AP11">SUM(COUNTIFS(E11:AI11,{"1, C2";"C1, C2";"C2";"C2, 3";"S2, C2";"C2, 1";"C2, C1";"3, C2";"C2, S2";"C2, HC";"HC, C2"}))/2</f>
        <v>0</v>
      </c>
      <c r="AQ11" s="29">
        <f t="shared" si="1"/>
        <v>9.5</v>
      </c>
      <c r="AR11" s="27">
        <f t="array" ref="AR11">SUM(COUNTIFS(E11:AI11,{"GR";"HC";"KT";"QA";"C2, HC";"HC, C2"}))+SUM(COUNTIFS(E11:AI11,{"HC1";"HC2"}))/2</f>
        <v>10</v>
      </c>
      <c r="AS11" s="29">
        <f t="shared" si="2"/>
        <v>26.5</v>
      </c>
      <c r="AT11" s="27">
        <f t="array" ref="AT11">SUM(COUNTIFS(E11:AI11,{"3";"C1, 3";"C2, 3";"3, C1";"3, C2";"3, S2";"S2, 3"}))</f>
        <v>0</v>
      </c>
      <c r="AU11" s="27">
        <f t="array" ref="AU11">SUM(COUNTIFS(E11:AI11,"HCKT"))</f>
        <v>0</v>
      </c>
      <c r="AV11" s="29">
        <f t="shared" si="3"/>
        <v>26.5</v>
      </c>
      <c r="AW11" s="29">
        <f t="array" ref="AW11">SUM(COUNTIFS(E11:AI11,{"L 1";"L 1, C1";"L 1, C2";"L C2, 1";"L C1, 1"}))</f>
        <v>2</v>
      </c>
      <c r="AX11" s="29">
        <f t="array" ref="AX11">SUM(COUNTIFS(E11:AI11,"L S1"))/2</f>
        <v>0</v>
      </c>
      <c r="AY11" s="29">
        <f t="array" ref="AY11">SUM(COUNTIFS(E11:AI11,{"L S2";"L S2, 2";"L S2, C1";"L S2, C2";"L 2, S2";"L C1, S2";"L C2, S2";"L 3, S2";"L S2, 3"}))/2</f>
        <v>0</v>
      </c>
      <c r="AZ11" s="29">
        <f t="shared" si="4"/>
        <v>2</v>
      </c>
      <c r="BA11" s="29">
        <f t="array" ref="BA11">SUM(COUNTIFS(E11:AI11,{"L 2";"L 2, S2";"L S2, 2"}))</f>
        <v>0</v>
      </c>
      <c r="BB11" s="29">
        <f t="array" ref="BB11">SUM(COUNTIFS(E11:AI11,{"L 1, C1";"L C1";"L C1, 3";"L C1, C2";"L S2, C1";"L C1, 1";"L 3, C1";"L C2, C1";"L C1, S2"}))/2</f>
        <v>0</v>
      </c>
      <c r="BC11" s="29">
        <f t="array" ref="BC11">SUM(COUNTIFS(E11:AI11,{"L 1, C2";"L C1, C2";"L C2";"L C2, 3";"L S2, C2";"L C2, 1";"L C2, C1";"L 3, C2";"L C2, S2";"L C2, HC";"L HC, C2"}))/2</f>
        <v>0</v>
      </c>
      <c r="BD11" s="29">
        <f t="shared" si="5"/>
        <v>0</v>
      </c>
      <c r="BE11" s="29">
        <f t="array" ref="BE11">SUM(COUNTIFS(E11:AI11,{"L GR";"L HC";"L KT";"L QA";"L C2, HC";"L HC, C2"}))+SUM(COUNTIFS(E11:AI11,{"L HC1";"L HC2"}))/2</f>
        <v>0</v>
      </c>
      <c r="BF11" s="29">
        <f t="shared" si="6"/>
        <v>2</v>
      </c>
      <c r="BG11" s="29">
        <f t="array" ref="BG11">SUM(COUNTIFS(E11:AI11,{"L 3";"L C1, 3";"L C2, 3";"L 3, C1";"L 3, C2";"L 3, S2";"L S2, 3"}))</f>
        <v>0</v>
      </c>
      <c r="BH11" s="29">
        <f t="array" ref="BH11">SUM(COUNTIFS(E11:AI11,"L HCKT"))</f>
        <v>0</v>
      </c>
      <c r="BI11" s="29">
        <f t="shared" si="7"/>
        <v>2</v>
      </c>
      <c r="BJ11" s="29"/>
      <c r="BK11" s="25"/>
    </row>
    <row r="12" spans="1:63" ht="14.4">
      <c r="A12" s="23">
        <v>4</v>
      </c>
      <c r="B12" s="24" t="s">
        <v>188</v>
      </c>
      <c r="C12" s="23">
        <v>7218</v>
      </c>
      <c r="D12" s="25" t="s">
        <v>195</v>
      </c>
      <c r="E12" s="23" t="s">
        <v>190</v>
      </c>
      <c r="F12" s="23" t="s">
        <v>34</v>
      </c>
      <c r="G12" s="23" t="s">
        <v>34</v>
      </c>
      <c r="H12" s="23">
        <v>3</v>
      </c>
      <c r="I12" s="23"/>
      <c r="J12" s="23" t="s">
        <v>29</v>
      </c>
      <c r="K12" s="23" t="s">
        <v>29</v>
      </c>
      <c r="L12" s="23" t="s">
        <v>32</v>
      </c>
      <c r="M12" s="23" t="s">
        <v>32</v>
      </c>
      <c r="N12" s="23" t="s">
        <v>32</v>
      </c>
      <c r="O12" s="23"/>
      <c r="P12" s="23" t="s">
        <v>34</v>
      </c>
      <c r="Q12" s="23"/>
      <c r="R12" s="23" t="s">
        <v>34</v>
      </c>
      <c r="S12" s="23" t="s">
        <v>35</v>
      </c>
      <c r="T12" s="23">
        <v>2</v>
      </c>
      <c r="U12" s="23">
        <v>3</v>
      </c>
      <c r="V12" s="23">
        <v>3</v>
      </c>
      <c r="W12" s="23" t="s">
        <v>34</v>
      </c>
      <c r="X12" s="23" t="s">
        <v>35</v>
      </c>
      <c r="Y12" s="23"/>
      <c r="Z12" s="23">
        <v>3</v>
      </c>
      <c r="AA12" s="23"/>
      <c r="AB12" s="23" t="s">
        <v>35</v>
      </c>
      <c r="AC12" s="23" t="s">
        <v>32</v>
      </c>
      <c r="AD12" s="23">
        <v>2</v>
      </c>
      <c r="AE12" s="23" t="s">
        <v>196</v>
      </c>
      <c r="AF12" s="23" t="s">
        <v>197</v>
      </c>
      <c r="AG12" s="23"/>
      <c r="AH12" s="23" t="s">
        <v>198</v>
      </c>
      <c r="AI12" s="26" t="s">
        <v>199</v>
      </c>
      <c r="AJ12" s="27">
        <f t="array" ref="AJ12">SUM(COUNTIFS(E12:AI12,{"1";"1, C1";"1, C2";"C2, 1";"C1, 1"}))</f>
        <v>0</v>
      </c>
      <c r="AK12" s="28">
        <f t="array" ref="AK12">SUM(COUNTIFS(E12:AI12,"S1"))/2</f>
        <v>0</v>
      </c>
      <c r="AL12" s="27">
        <f t="array" ref="AL12">SUM(COUNTIFS(E12:AI12,{"S2";"S2, 2";"S2, C1";"S2, C2";"2, S2";"C1, S2";"C2, S2";"3, S2";"S2, 3"}))/2</f>
        <v>2</v>
      </c>
      <c r="AM12" s="29">
        <f t="shared" si="0"/>
        <v>2</v>
      </c>
      <c r="AN12" s="27">
        <f t="array" ref="AN12">SUM(COUNTIFS(E12:AI12,{"2";"2, S2";"S2, 2"}))</f>
        <v>6</v>
      </c>
      <c r="AO12" s="27">
        <f t="array" ref="AO12">SUM(COUNTIFS(E12:AI12,{"1, C1";"C1";"C1, 3";"C1, C2";"S2, C1";"C1, 1";"3, C1";"C2, C1";"C1, S2"}))/2</f>
        <v>0</v>
      </c>
      <c r="AP12" s="27">
        <f t="array" ref="AP12">SUM(COUNTIFS(E12:AI12,{"1, C2";"C1, C2";"C2";"C2, 3";"S2, C2";"C2, 1";"C2, C1";"3, C2";"C2, S2";"C2, HC";"HC, C2"}))/2</f>
        <v>4</v>
      </c>
      <c r="AQ12" s="29">
        <f t="shared" si="1"/>
        <v>10</v>
      </c>
      <c r="AR12" s="27">
        <f t="array" ref="AR12">SUM(COUNTIFS(E12:AI12,{"GR";"HC";"KT";"QA";"C2, HC";"HC, C2"}))+SUM(COUNTIFS(E12:AI12,{"HC1";"HC2"}))/2</f>
        <v>2</v>
      </c>
      <c r="AS12" s="29">
        <f t="shared" si="2"/>
        <v>14</v>
      </c>
      <c r="AT12" s="27">
        <f t="array" ref="AT12">SUM(COUNTIFS(E12:AI12,{"3";"C1, 3";"C2, 3";"3, C1";"3, C2";"3, S2";"S2, 3"}))</f>
        <v>9</v>
      </c>
      <c r="AU12" s="27">
        <f t="array" ref="AU12">SUM(COUNTIFS(E12:AI12,"HCKT"))</f>
        <v>0</v>
      </c>
      <c r="AV12" s="29">
        <f t="shared" si="3"/>
        <v>23</v>
      </c>
      <c r="AW12" s="29">
        <f t="array" ref="AW12">SUM(COUNTIFS(E12:AI12,{"L 1";"L 1, C1";"L 1, C2";"L C2, 1";"L C1, 1"}))</f>
        <v>0</v>
      </c>
      <c r="AX12" s="29">
        <f t="array" ref="AX12">SUM(COUNTIFS(E12:AI12,"L S1"))/2</f>
        <v>0</v>
      </c>
      <c r="AY12" s="29">
        <f t="array" ref="AY12">SUM(COUNTIFS(E12:AI12,{"L S2";"L S2, 2";"L S2, C1";"L S2, C2";"L 2, S2";"L C1, S2";"L C2, S2";"L 3, S2";"L S2, 3"}))/2</f>
        <v>1.5</v>
      </c>
      <c r="AZ12" s="29">
        <f t="shared" si="4"/>
        <v>1.5</v>
      </c>
      <c r="BA12" s="29">
        <f t="array" ref="BA12">SUM(COUNTIFS(E12:AI12,{"L 2";"L 2, S2";"L S2, 2"}))</f>
        <v>2</v>
      </c>
      <c r="BB12" s="29">
        <f t="array" ref="BB12">SUM(COUNTIFS(E12:AI12,{"L 1, C1";"L C1";"L C1, 3";"L C1, C2";"L S2, C1";"L C1, 1";"L 3, C1";"L C2, C1";"L C1, S2"}))/2</f>
        <v>0.5</v>
      </c>
      <c r="BC12" s="29">
        <f t="array" ref="BC12">SUM(COUNTIFS(E12:AI12,{"L 1, C2";"L C1, C2";"L C2";"L C2, 3";"L S2, C2";"L C2, 1";"L C2, C1";"L 3, C2";"L C2, S2";"L C2, HC";"L HC, C2"}))/2</f>
        <v>0.5</v>
      </c>
      <c r="BD12" s="29">
        <f t="shared" si="5"/>
        <v>3</v>
      </c>
      <c r="BE12" s="29">
        <f t="array" ref="BE12">SUM(COUNTIFS(E12:AI12,{"L GR";"L HC";"L KT";"L QA";"L C2, HC";"L HC, C2"}))+SUM(COUNTIFS(E12:AI12,{"L HC1";"L HC2"}))/2</f>
        <v>0</v>
      </c>
      <c r="BF12" s="29">
        <f t="shared" si="6"/>
        <v>4.5</v>
      </c>
      <c r="BG12" s="29">
        <f t="array" ref="BG12">SUM(COUNTIFS(E12:AI12,{"L 3";"L C1, 3";"L C2, 3";"L 3, C1";"L 3, C2";"L 3, S2";"L S2, 3"}))</f>
        <v>0</v>
      </c>
      <c r="BH12" s="29">
        <f t="array" ref="BH12">SUM(COUNTIFS(E12:AI12,"L HCKT"))</f>
        <v>0</v>
      </c>
      <c r="BI12" s="29">
        <f t="shared" si="7"/>
        <v>4.5</v>
      </c>
      <c r="BJ12" s="29"/>
      <c r="BK12" s="25"/>
    </row>
    <row r="13" spans="1:63" ht="14.4">
      <c r="A13" s="23">
        <v>5</v>
      </c>
      <c r="B13" s="24" t="s">
        <v>188</v>
      </c>
      <c r="C13" s="23">
        <v>7222</v>
      </c>
      <c r="D13" s="25" t="s">
        <v>200</v>
      </c>
      <c r="E13" s="23" t="s">
        <v>191</v>
      </c>
      <c r="F13" s="23" t="s">
        <v>27</v>
      </c>
      <c r="G13" s="23" t="s">
        <v>27</v>
      </c>
      <c r="H13" s="30" t="s">
        <v>27</v>
      </c>
      <c r="I13" s="23">
        <v>1</v>
      </c>
      <c r="J13" s="23">
        <v>1</v>
      </c>
      <c r="K13" s="23" t="s">
        <v>27</v>
      </c>
      <c r="L13" s="23" t="s">
        <v>27</v>
      </c>
      <c r="M13" s="23" t="s">
        <v>29</v>
      </c>
      <c r="N13" s="23">
        <v>1</v>
      </c>
      <c r="O13" s="23">
        <v>1</v>
      </c>
      <c r="P13" s="23">
        <v>1</v>
      </c>
      <c r="Q13" s="23">
        <v>1</v>
      </c>
      <c r="R13" s="23">
        <v>1</v>
      </c>
      <c r="S13" s="23"/>
      <c r="T13" s="23" t="s">
        <v>28</v>
      </c>
      <c r="U13" s="23"/>
      <c r="V13" s="23"/>
      <c r="W13" s="23">
        <v>1</v>
      </c>
      <c r="X13" s="23" t="s">
        <v>26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6"/>
      <c r="AJ13" s="27">
        <f t="array" ref="AJ13">SUM(COUNTIFS(E13:AI13,{"1";"1, C1";"1, C2";"C2, 1";"C1, 1"}))</f>
        <v>13</v>
      </c>
      <c r="AK13" s="28">
        <f t="array" ref="AK13">SUM(COUNTIFS(E13:AI13,"S1"))/2</f>
        <v>0</v>
      </c>
      <c r="AL13" s="27">
        <f t="array" ref="AL13">SUM(COUNTIFS(E13:AI13,{"S2";"S2, 2";"S2, C1";"S2, C2";"2, S2";"C1, S2";"C2, S2";"3, S2";"S2, 3"}))/2</f>
        <v>1</v>
      </c>
      <c r="AM13" s="29">
        <f t="shared" si="0"/>
        <v>14</v>
      </c>
      <c r="AN13" s="27">
        <f t="array" ref="AN13">SUM(COUNTIFS(E13:AI13,{"2";"2, S2";"S2, 2"}))</f>
        <v>0</v>
      </c>
      <c r="AO13" s="27">
        <f t="array" ref="AO13">SUM(COUNTIFS(E13:AI13,{"1, C1";"C1";"C1, 3";"C1, C2";"S2, C1";"C1, 1";"3, C1";"C2, C1";"C1, S2"}))/2</f>
        <v>3</v>
      </c>
      <c r="AP13" s="27">
        <f t="array" ref="AP13">SUM(COUNTIFS(E13:AI13,{"1, C2";"C1, C2";"C2";"C2, 3";"S2, C2";"C2, 1";"C2, C1";"3, C2";"C2, S2";"C2, HC";"HC, C2"}))/2</f>
        <v>0</v>
      </c>
      <c r="AQ13" s="29">
        <f t="shared" si="1"/>
        <v>3</v>
      </c>
      <c r="AR13" s="27">
        <f t="array" ref="AR13">SUM(COUNTIFS(E13:AI13,{"GR";"HC";"KT";"QA";"C2, HC";"HC, C2"}))+SUM(COUNTIFS(E13:AI13,{"HC1";"HC2"}))/2</f>
        <v>1</v>
      </c>
      <c r="AS13" s="29">
        <f t="shared" si="2"/>
        <v>18</v>
      </c>
      <c r="AT13" s="27">
        <f t="array" ref="AT13">SUM(COUNTIFS(E13:AI13,{"3";"C1, 3";"C2, 3";"3, C1";"3, C2";"3, S2";"S2, 3"}))</f>
        <v>0</v>
      </c>
      <c r="AU13" s="27">
        <f t="array" ref="AU13">SUM(COUNTIFS(E13:AI13,"HCKT"))</f>
        <v>0</v>
      </c>
      <c r="AV13" s="29">
        <f t="shared" si="3"/>
        <v>18</v>
      </c>
      <c r="AW13" s="29">
        <f t="array" ref="AW13">SUM(COUNTIFS(E13:AI13,{"L 1";"L 1, C1";"L 1, C2";"L C2, 1";"L C1, 1"}))</f>
        <v>1</v>
      </c>
      <c r="AX13" s="29">
        <f t="array" ref="AX13">SUM(COUNTIFS(E13:AI13,"L S1"))/2</f>
        <v>0</v>
      </c>
      <c r="AY13" s="29">
        <f t="array" ref="AY13">SUM(COUNTIFS(E13:AI13,{"L S2";"L S2, 2";"L S2, C1";"L S2, C2";"L 2, S2";"L C1, S2";"L C2, S2";"L 3, S2";"L S2, 3"}))/2</f>
        <v>0</v>
      </c>
      <c r="AZ13" s="29">
        <f t="shared" si="4"/>
        <v>1</v>
      </c>
      <c r="BA13" s="29">
        <f t="array" ref="BA13">SUM(COUNTIFS(E13:AI13,{"L 2";"L 2, S2";"L S2, 2"}))</f>
        <v>0</v>
      </c>
      <c r="BB13" s="29">
        <f t="array" ref="BB13">SUM(COUNTIFS(E13:AI13,{"L 1, C1";"L C1";"L C1, 3";"L C1, C2";"L S2, C1";"L C1, 1";"L 3, C1";"L C2, C1";"L C1, S2"}))/2</f>
        <v>0</v>
      </c>
      <c r="BC13" s="29">
        <f t="array" ref="BC13">SUM(COUNTIFS(E13:AI13,{"L 1, C2";"L C1, C2";"L C2";"L C2, 3";"L S2, C2";"L C2, 1";"L C2, C1";"L 3, C2";"L C2, S2";"L C2, HC";"L HC, C2"}))/2</f>
        <v>0</v>
      </c>
      <c r="BD13" s="29">
        <f t="shared" si="5"/>
        <v>0</v>
      </c>
      <c r="BE13" s="29">
        <f t="array" ref="BE13">SUM(COUNTIFS(E13:AI13,{"L GR";"L HC";"L KT";"L QA";"L C2, HC";"L HC, C2"}))+SUM(COUNTIFS(E13:AI13,{"L HC1";"L HC2"}))/2</f>
        <v>0</v>
      </c>
      <c r="BF13" s="29">
        <f t="shared" si="6"/>
        <v>1</v>
      </c>
      <c r="BG13" s="29">
        <f t="array" ref="BG13">SUM(COUNTIFS(E13:AI13,{"L 3";"L C1, 3";"L C2, 3";"L 3, C1";"L 3, C2";"L 3, S2";"L S2, 3"}))</f>
        <v>0</v>
      </c>
      <c r="BH13" s="29">
        <f t="array" ref="BH13">SUM(COUNTIFS(E13:AI13,"L HCKT"))</f>
        <v>0</v>
      </c>
      <c r="BI13" s="29">
        <f t="shared" si="7"/>
        <v>1</v>
      </c>
      <c r="BJ13" s="29"/>
      <c r="BK13" s="25"/>
    </row>
    <row r="14" spans="1:63" ht="14.4">
      <c r="A14" s="23">
        <v>6</v>
      </c>
      <c r="B14" s="24" t="s">
        <v>188</v>
      </c>
      <c r="C14" s="23">
        <v>7227</v>
      </c>
      <c r="D14" s="25" t="s">
        <v>201</v>
      </c>
      <c r="E14" s="23" t="s">
        <v>202</v>
      </c>
      <c r="F14" s="23" t="s">
        <v>29</v>
      </c>
      <c r="G14" s="23" t="s">
        <v>29</v>
      </c>
      <c r="H14" s="23" t="s">
        <v>29</v>
      </c>
      <c r="I14" s="23" t="s">
        <v>29</v>
      </c>
      <c r="J14" s="23" t="s">
        <v>29</v>
      </c>
      <c r="K14" s="23" t="s">
        <v>29</v>
      </c>
      <c r="L14" s="23" t="s">
        <v>29</v>
      </c>
      <c r="M14" s="23" t="s">
        <v>29</v>
      </c>
      <c r="N14" s="23" t="s">
        <v>29</v>
      </c>
      <c r="O14" s="23" t="s">
        <v>29</v>
      </c>
      <c r="P14" s="23" t="s">
        <v>29</v>
      </c>
      <c r="Q14" s="23" t="s">
        <v>29</v>
      </c>
      <c r="R14" s="23" t="s">
        <v>29</v>
      </c>
      <c r="S14" s="23" t="s">
        <v>29</v>
      </c>
      <c r="T14" s="23" t="s">
        <v>29</v>
      </c>
      <c r="U14" s="23" t="s">
        <v>29</v>
      </c>
      <c r="V14" s="23"/>
      <c r="W14" s="23" t="s">
        <v>29</v>
      </c>
      <c r="X14" s="23" t="s">
        <v>29</v>
      </c>
      <c r="Y14" s="23" t="s">
        <v>29</v>
      </c>
      <c r="Z14" s="23" t="s">
        <v>29</v>
      </c>
      <c r="AA14" s="23" t="s">
        <v>29</v>
      </c>
      <c r="AB14" s="23" t="s">
        <v>29</v>
      </c>
      <c r="AC14" s="23" t="s">
        <v>29</v>
      </c>
      <c r="AD14" s="23" t="s">
        <v>29</v>
      </c>
      <c r="AE14" s="23" t="s">
        <v>190</v>
      </c>
      <c r="AF14" s="23"/>
      <c r="AG14" s="23"/>
      <c r="AH14" s="23"/>
      <c r="AI14" s="26"/>
      <c r="AJ14" s="27">
        <f t="array" ref="AJ14">SUM(COUNTIFS(E14:AI14,{"1";"1, C1";"1, C2";"C2, 1";"C1, 1"}))</f>
        <v>0</v>
      </c>
      <c r="AK14" s="28">
        <f t="array" ref="AK14">SUM(COUNTIFS(E14:AI14,"S1"))/2</f>
        <v>0</v>
      </c>
      <c r="AL14" s="27">
        <f t="array" ref="AL14">SUM(COUNTIFS(E14:AI14,{"S2";"S2, 2";"S2, C1";"S2, C2";"2, S2";"C1, S2";"C2, S2";"3, S2";"S2, 3"}))/2</f>
        <v>0</v>
      </c>
      <c r="AM14" s="29">
        <f t="shared" si="0"/>
        <v>0</v>
      </c>
      <c r="AN14" s="27">
        <f t="array" ref="AN14">SUM(COUNTIFS(E14:AI14,{"2";"2, S2";"S2, 2"}))</f>
        <v>0</v>
      </c>
      <c r="AO14" s="27">
        <f t="array" ref="AO14">SUM(COUNTIFS(E14:AI14,{"1, C1";"C1";"C1, 3";"C1, C2";"S2, C1";"C1, 1";"3, C1";"C2, C1";"C1, S2"}))/2</f>
        <v>0</v>
      </c>
      <c r="AP14" s="27">
        <f t="array" ref="AP14">SUM(COUNTIFS(E14:AI14,{"1, C2";"C1, C2";"C2";"C2, 3";"S2, C2";"C2, 1";"C2, C1";"3, C2";"C2, S2";"C2, HC";"HC, C2"}))/2</f>
        <v>0</v>
      </c>
      <c r="AQ14" s="29">
        <f t="shared" si="1"/>
        <v>0</v>
      </c>
      <c r="AR14" s="27">
        <f t="array" ref="AR14">SUM(COUNTIFS(E14:AI14,{"GR";"HC";"KT";"QA";"C2, HC";"HC, C2"}))+SUM(COUNTIFS(E14:AI14,{"HC1";"HC2"}))/2</f>
        <v>24</v>
      </c>
      <c r="AS14" s="29">
        <f t="shared" si="2"/>
        <v>24</v>
      </c>
      <c r="AT14" s="27">
        <f t="array" ref="AT14">SUM(COUNTIFS(E14:AI14,{"3";"C1, 3";"C2, 3";"3, C1";"3, C2";"3, S2";"S2, 3"}))</f>
        <v>0</v>
      </c>
      <c r="AU14" s="27">
        <f t="array" ref="AU14">SUM(COUNTIFS(E14:AI14,"HCKT"))</f>
        <v>0</v>
      </c>
      <c r="AV14" s="29">
        <f t="shared" si="3"/>
        <v>24</v>
      </c>
      <c r="AW14" s="29">
        <f t="array" ref="AW14">SUM(COUNTIFS(E14:AI14,{"L 1";"L 1, C1";"L 1, C2";"L C2, 1";"L C1, 1"}))</f>
        <v>0</v>
      </c>
      <c r="AX14" s="29">
        <f t="array" ref="AX14">SUM(COUNTIFS(E14:AI14,"L S1"))/2</f>
        <v>0</v>
      </c>
      <c r="AY14" s="29">
        <f t="array" ref="AY14">SUM(COUNTIFS(E14:AI14,{"L S2";"L S2, 2";"L S2, C1";"L S2, C2";"L 2, S2";"L C1, S2";"L C2, S2";"L 3, S2";"L S2, 3"}))/2</f>
        <v>0.5</v>
      </c>
      <c r="AZ14" s="29">
        <f t="shared" si="4"/>
        <v>0.5</v>
      </c>
      <c r="BA14" s="29">
        <f t="array" ref="BA14">SUM(COUNTIFS(E14:AI14,{"L 2";"L 2, S2";"L S2, 2"}))</f>
        <v>0</v>
      </c>
      <c r="BB14" s="29">
        <f t="array" ref="BB14">SUM(COUNTIFS(E14:AI14,{"L 1, C1";"L C1";"L C1, 3";"L C1, C2";"L S2, C1";"L C1, 1";"L 3, C1";"L C2, C1";"L C1, S2"}))/2</f>
        <v>0.5</v>
      </c>
      <c r="BC14" s="29">
        <f t="array" ref="BC14">SUM(COUNTIFS(E14:AI14,{"L 1, C2";"L C1, C2";"L C2";"L C2, 3";"L S2, C2";"L C2, 1";"L C2, C1";"L 3, C2";"L C2, S2";"L C2, HC";"L HC, C2"}))/2</f>
        <v>0</v>
      </c>
      <c r="BD14" s="29">
        <f t="shared" si="5"/>
        <v>0.5</v>
      </c>
      <c r="BE14" s="29">
        <f t="array" ref="BE14">SUM(COUNTIFS(E14:AI14,{"L GR";"L HC";"L KT";"L QA";"L C2, HC";"L HC, C2"}))+SUM(COUNTIFS(E14:AI14,{"L HC1";"L HC2"}))/2</f>
        <v>1</v>
      </c>
      <c r="BF14" s="29">
        <f t="shared" si="6"/>
        <v>2</v>
      </c>
      <c r="BG14" s="29">
        <f t="array" ref="BG14">SUM(COUNTIFS(E14:AI14,{"L 3";"L C1, 3";"L C2, 3";"L 3, C1";"L 3, C2";"L 3, S2";"L S2, 3"}))</f>
        <v>0</v>
      </c>
      <c r="BH14" s="29">
        <f t="array" ref="BH14">SUM(COUNTIFS(E14:AI14,"L HCKT"))</f>
        <v>0</v>
      </c>
      <c r="BI14" s="29">
        <f t="shared" si="7"/>
        <v>2</v>
      </c>
      <c r="BJ14" s="29"/>
      <c r="BK14" s="25"/>
    </row>
    <row r="15" spans="1:63" ht="14.4">
      <c r="A15" s="23">
        <v>7</v>
      </c>
      <c r="B15" s="24" t="s">
        <v>188</v>
      </c>
      <c r="C15" s="23">
        <v>7228</v>
      </c>
      <c r="D15" s="25" t="s">
        <v>203</v>
      </c>
      <c r="E15" s="23" t="s">
        <v>190</v>
      </c>
      <c r="F15" s="23" t="s">
        <v>29</v>
      </c>
      <c r="G15" s="23" t="s">
        <v>29</v>
      </c>
      <c r="H15" s="23"/>
      <c r="I15" s="23"/>
      <c r="J15" s="23" t="s">
        <v>29</v>
      </c>
      <c r="K15" s="23" t="s">
        <v>29</v>
      </c>
      <c r="L15" s="23" t="s">
        <v>29</v>
      </c>
      <c r="M15" s="23" t="s">
        <v>29</v>
      </c>
      <c r="N15" s="23" t="s">
        <v>29</v>
      </c>
      <c r="O15" s="23" t="s">
        <v>29</v>
      </c>
      <c r="P15" s="23" t="s">
        <v>29</v>
      </c>
      <c r="Q15" s="23" t="s">
        <v>29</v>
      </c>
      <c r="R15" s="23" t="s">
        <v>29</v>
      </c>
      <c r="S15" s="23" t="s">
        <v>29</v>
      </c>
      <c r="T15" s="23" t="s">
        <v>29</v>
      </c>
      <c r="U15" s="23" t="s">
        <v>29</v>
      </c>
      <c r="V15" s="23" t="s">
        <v>29</v>
      </c>
      <c r="W15" s="23"/>
      <c r="X15" s="23" t="s">
        <v>29</v>
      </c>
      <c r="Y15" s="23" t="s">
        <v>29</v>
      </c>
      <c r="Z15" s="23" t="s">
        <v>29</v>
      </c>
      <c r="AA15" s="23" t="s">
        <v>29</v>
      </c>
      <c r="AB15" s="23" t="s">
        <v>29</v>
      </c>
      <c r="AC15" s="23" t="s">
        <v>29</v>
      </c>
      <c r="AD15" s="23"/>
      <c r="AE15" s="23" t="s">
        <v>196</v>
      </c>
      <c r="AF15" s="23" t="s">
        <v>197</v>
      </c>
      <c r="AG15" s="23" t="s">
        <v>198</v>
      </c>
      <c r="AH15" s="23" t="s">
        <v>199</v>
      </c>
      <c r="AI15" s="26"/>
      <c r="AJ15" s="27">
        <f t="array" ref="AJ15">SUM(COUNTIFS(E15:AI15,{"1";"1, C1";"1, C2";"C2, 1";"C1, 1"}))</f>
        <v>0</v>
      </c>
      <c r="AK15" s="28">
        <f t="array" ref="AK15">SUM(COUNTIFS(E15:AI15,"S1"))/2</f>
        <v>0</v>
      </c>
      <c r="AL15" s="27">
        <f t="array" ref="AL15">SUM(COUNTIFS(E15:AI15,{"S2";"S2, 2";"S2, C1";"S2, C2";"2, S2";"C1, S2";"C2, S2";"3, S2";"S2, 3"}))/2</f>
        <v>0</v>
      </c>
      <c r="AM15" s="29">
        <f t="shared" si="0"/>
        <v>0</v>
      </c>
      <c r="AN15" s="27">
        <f t="array" ref="AN15">SUM(COUNTIFS(E15:AI15,{"2";"2, S2";"S2, 2"}))</f>
        <v>0</v>
      </c>
      <c r="AO15" s="27">
        <f t="array" ref="AO15">SUM(COUNTIFS(E15:AI15,{"1, C1";"C1";"C1, 3";"C1, C2";"S2, C1";"C1, 1";"3, C1";"C2, C1";"C1, S2"}))/2</f>
        <v>0</v>
      </c>
      <c r="AP15" s="27">
        <f t="array" ref="AP15">SUM(COUNTIFS(E15:AI15,{"1, C2";"C1, C2";"C2";"C2, 3";"S2, C2";"C2, 1";"C2, C1";"3, C2";"C2, S2";"C2, HC";"HC, C2"}))/2</f>
        <v>0</v>
      </c>
      <c r="AQ15" s="29">
        <f t="shared" si="1"/>
        <v>0</v>
      </c>
      <c r="AR15" s="27">
        <f t="array" ref="AR15">SUM(COUNTIFS(E15:AI15,{"GR";"HC";"KT";"QA";"C2, HC";"HC, C2"}))+SUM(COUNTIFS(E15:AI15,{"HC1";"HC2"}))/2</f>
        <v>21</v>
      </c>
      <c r="AS15" s="29">
        <f t="shared" si="2"/>
        <v>21</v>
      </c>
      <c r="AT15" s="27">
        <f t="array" ref="AT15">SUM(COUNTIFS(E15:AI15,{"3";"C1, 3";"C2, 3";"3, C1";"3, C2";"3, S2";"S2, 3"}))</f>
        <v>0</v>
      </c>
      <c r="AU15" s="27">
        <f t="array" ref="AU15">SUM(COUNTIFS(E15:AI15,"HCKT"))</f>
        <v>0</v>
      </c>
      <c r="AV15" s="29">
        <f t="shared" si="3"/>
        <v>21</v>
      </c>
      <c r="AW15" s="29">
        <f t="array" ref="AW15">SUM(COUNTIFS(E15:AI15,{"L 1";"L 1, C1";"L 1, C2";"L C2, 1";"L C1, 1"}))</f>
        <v>0</v>
      </c>
      <c r="AX15" s="29">
        <f t="array" ref="AX15">SUM(COUNTIFS(E15:AI15,"L S1"))/2</f>
        <v>0</v>
      </c>
      <c r="AY15" s="29">
        <f t="array" ref="AY15">SUM(COUNTIFS(E15:AI15,{"L S2";"L S2, 2";"L S2, C1";"L S2, C2";"L 2, S2";"L C1, S2";"L C2, S2";"L 3, S2";"L S2, 3"}))/2</f>
        <v>1.5</v>
      </c>
      <c r="AZ15" s="29">
        <f t="shared" si="4"/>
        <v>1.5</v>
      </c>
      <c r="BA15" s="29">
        <f t="array" ref="BA15">SUM(COUNTIFS(E15:AI15,{"L 2";"L 2, S2";"L S2, 2"}))</f>
        <v>2</v>
      </c>
      <c r="BB15" s="29">
        <f t="array" ref="BB15">SUM(COUNTIFS(E15:AI15,{"L 1, C1";"L C1";"L C1, 3";"L C1, C2";"L S2, C1";"L C1, 1";"L 3, C1";"L C2, C1";"L C1, S2"}))/2</f>
        <v>0.5</v>
      </c>
      <c r="BC15" s="29">
        <f t="array" ref="BC15">SUM(COUNTIFS(E15:AI15,{"L 1, C2";"L C1, C2";"L C2";"L C2, 3";"L S2, C2";"L C2, 1";"L C2, C1";"L 3, C2";"L C2, S2";"L C2, HC";"L HC, C2"}))/2</f>
        <v>0.5</v>
      </c>
      <c r="BD15" s="29">
        <f t="shared" si="5"/>
        <v>3</v>
      </c>
      <c r="BE15" s="29">
        <f t="array" ref="BE15">SUM(COUNTIFS(E15:AI15,{"L GR";"L HC";"L KT";"L QA";"L C2, HC";"L HC, C2"}))+SUM(COUNTIFS(E15:AI15,{"L HC1";"L HC2"}))/2</f>
        <v>0</v>
      </c>
      <c r="BF15" s="29">
        <f t="shared" si="6"/>
        <v>4.5</v>
      </c>
      <c r="BG15" s="29">
        <f t="array" ref="BG15">SUM(COUNTIFS(E15:AI15,{"L 3";"L C1, 3";"L C2, 3";"L 3, C1";"L 3, C2";"L 3, S2";"L S2, 3"}))</f>
        <v>0</v>
      </c>
      <c r="BH15" s="29">
        <f t="array" ref="BH15">SUM(COUNTIFS(E15:AI15,"L HCKT"))</f>
        <v>0</v>
      </c>
      <c r="BI15" s="29">
        <f t="shared" si="7"/>
        <v>4.5</v>
      </c>
      <c r="BJ15" s="29"/>
      <c r="BK15" s="25"/>
    </row>
    <row r="16" spans="1:63" ht="14.4">
      <c r="A16" s="23">
        <v>8</v>
      </c>
      <c r="B16" s="24" t="s">
        <v>188</v>
      </c>
      <c r="C16" s="23">
        <v>7238</v>
      </c>
      <c r="D16" s="25" t="s">
        <v>204</v>
      </c>
      <c r="E16" s="23" t="s">
        <v>190</v>
      </c>
      <c r="F16" s="23" t="s">
        <v>29</v>
      </c>
      <c r="G16" s="23" t="s">
        <v>29</v>
      </c>
      <c r="H16" s="23"/>
      <c r="I16" s="23"/>
      <c r="J16" s="23" t="s">
        <v>29</v>
      </c>
      <c r="K16" s="23" t="s">
        <v>29</v>
      </c>
      <c r="L16" s="23" t="s">
        <v>29</v>
      </c>
      <c r="M16" s="23" t="s">
        <v>29</v>
      </c>
      <c r="N16" s="23" t="s">
        <v>33</v>
      </c>
      <c r="O16" s="23"/>
      <c r="P16" s="23"/>
      <c r="Q16" s="23" t="s">
        <v>29</v>
      </c>
      <c r="R16" s="23" t="s">
        <v>193</v>
      </c>
      <c r="S16" s="23" t="s">
        <v>29</v>
      </c>
      <c r="T16" s="23"/>
      <c r="U16" s="23" t="s">
        <v>29</v>
      </c>
      <c r="V16" s="23" t="s">
        <v>29</v>
      </c>
      <c r="W16" s="23"/>
      <c r="X16" s="23" t="s">
        <v>29</v>
      </c>
      <c r="Y16" s="23">
        <v>1</v>
      </c>
      <c r="Z16" s="23">
        <v>1</v>
      </c>
      <c r="AA16" s="23" t="s">
        <v>29</v>
      </c>
      <c r="AB16" s="23"/>
      <c r="AC16" s="23"/>
      <c r="AD16" s="23"/>
      <c r="AE16" s="23"/>
      <c r="AF16" s="23"/>
      <c r="AG16" s="23"/>
      <c r="AH16" s="23"/>
      <c r="AI16" s="23"/>
      <c r="AJ16" s="27">
        <f t="array" ref="AJ16">SUM(COUNTIFS(E16:AI16,{"1";"1, C1";"1, C2";"C2, 1";"C1, 1"}))</f>
        <v>2</v>
      </c>
      <c r="AK16" s="28">
        <f t="array" ref="AK16">SUM(COUNTIFS(E16:AI16,"S1"))/2</f>
        <v>0</v>
      </c>
      <c r="AL16" s="27">
        <f t="array" ref="AL16">SUM(COUNTIFS(E16:AI16,{"S2";"S2, 2";"S2, C1";"S2, C2";"2, S2";"C1, S2";"C2, S2";"3, S2";"S2, 3"}))/2</f>
        <v>0.5</v>
      </c>
      <c r="AM16" s="29">
        <f t="shared" si="0"/>
        <v>2.5</v>
      </c>
      <c r="AN16" s="27">
        <f t="array" ref="AN16">SUM(COUNTIFS(E16:AI16,{"2";"2, S2";"S2, 2"}))</f>
        <v>0</v>
      </c>
      <c r="AO16" s="27">
        <f t="array" ref="AO16">SUM(COUNTIFS(E16:AI16,{"1, C1";"C1";"C1, 3";"C1, C2";"S2, C1";"C1, 1";"3, C1";"C2, C1";"C1, S2"}))/2</f>
        <v>1</v>
      </c>
      <c r="AP16" s="27">
        <f t="array" ref="AP16">SUM(COUNTIFS(E16:AI16,{"1, C2";"C1, C2";"C2";"C2, 3";"S2, C2";"C2, 1";"C2, C1";"3, C2";"C2, S2";"C2, HC";"HC, C2"}))/2</f>
        <v>0</v>
      </c>
      <c r="AQ16" s="29">
        <f t="shared" si="1"/>
        <v>1</v>
      </c>
      <c r="AR16" s="27">
        <f t="array" ref="AR16">SUM(COUNTIFS(E16:AI16,{"GR";"HC";"KT";"QA";"C2, HC";"HC, C2"}))+SUM(COUNTIFS(E16:AI16,{"HC1";"HC2"}))/2</f>
        <v>12</v>
      </c>
      <c r="AS16" s="29">
        <f t="shared" si="2"/>
        <v>15.5</v>
      </c>
      <c r="AT16" s="27">
        <f t="array" ref="AT16">SUM(COUNTIFS(E16:AI16,{"3";"C1, 3";"C2, 3";"3, C1";"3, C2";"3, S2";"S2, 3"}))</f>
        <v>0</v>
      </c>
      <c r="AU16" s="27">
        <f t="array" ref="AU16">SUM(COUNTIFS(E16:AI16,"HCKT"))</f>
        <v>0</v>
      </c>
      <c r="AV16" s="29">
        <f t="shared" si="3"/>
        <v>15.5</v>
      </c>
      <c r="AW16" s="29">
        <f t="array" ref="AW16">SUM(COUNTIFS(E16:AI16,{"L 1";"L 1, C1";"L 1, C2";"L C2, 1";"L C1, 1"}))</f>
        <v>0</v>
      </c>
      <c r="AX16" s="29">
        <f t="array" ref="AX16">SUM(COUNTIFS(E16:AI16,"L S1"))/2</f>
        <v>0</v>
      </c>
      <c r="AY16" s="29">
        <f t="array" ref="AY16">SUM(COUNTIFS(E16:AI16,{"L S2";"L S2, 2";"L S2, C1";"L S2, C2";"L 2, S2";"L C1, S2";"L C2, S2";"L 3, S2";"L S2, 3"}))/2</f>
        <v>0.5</v>
      </c>
      <c r="AZ16" s="29">
        <f t="shared" si="4"/>
        <v>0.5</v>
      </c>
      <c r="BA16" s="29">
        <f t="array" ref="BA16">SUM(COUNTIFS(E16:AI16,{"L 2";"L 2, S2";"L S2, 2"}))</f>
        <v>0</v>
      </c>
      <c r="BB16" s="29">
        <f t="array" ref="BB16">SUM(COUNTIFS(E16:AI16,{"L 1, C1";"L C1";"L C1, 3";"L C1, C2";"L S2, C1";"L C1, 1";"L 3, C1";"L C2, C1";"L C1, S2"}))/2</f>
        <v>0.5</v>
      </c>
      <c r="BC16" s="29">
        <f t="array" ref="BC16">SUM(COUNTIFS(E16:AI16,{"L 1, C2";"L C1, C2";"L C2";"L C2, 3";"L S2, C2";"L C2, 1";"L C2, C1";"L 3, C2";"L C2, S2";"L C2, HC";"L HC, C2"}))/2</f>
        <v>0</v>
      </c>
      <c r="BD16" s="29">
        <f t="shared" si="5"/>
        <v>0.5</v>
      </c>
      <c r="BE16" s="29">
        <f t="array" ref="BE16">SUM(COUNTIFS(E16:AI16,{"L GR";"L HC";"L KT";"L QA";"L C2, HC";"L HC, C2"}))+SUM(COUNTIFS(E16:AI16,{"L HC1";"L HC2"}))/2</f>
        <v>0</v>
      </c>
      <c r="BF16" s="29">
        <f t="shared" si="6"/>
        <v>1</v>
      </c>
      <c r="BG16" s="29">
        <f t="array" ref="BG16">SUM(COUNTIFS(E16:AI16,{"L 3";"L C1, 3";"L C2, 3";"L 3, C1";"L 3, C2";"L 3, S2";"L S2, 3"}))</f>
        <v>0</v>
      </c>
      <c r="BH16" s="29">
        <f t="array" ref="BH16">SUM(COUNTIFS(E16:AI16,"L HCKT"))</f>
        <v>0</v>
      </c>
      <c r="BI16" s="29">
        <f t="shared" si="7"/>
        <v>1</v>
      </c>
      <c r="BJ16" s="29"/>
      <c r="BK16" s="25"/>
    </row>
    <row r="17" spans="1:63" ht="14.4">
      <c r="A17" s="23">
        <v>9</v>
      </c>
      <c r="B17" s="24" t="s">
        <v>188</v>
      </c>
      <c r="C17" s="23">
        <v>7244</v>
      </c>
      <c r="D17" s="25" t="s">
        <v>205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6"/>
      <c r="AJ17" s="27">
        <f t="array" ref="AJ17">SUM(COUNTIFS(E17:AI17,{"1";"1, C1";"1, C2";"C2, 1";"C1, 1"}))</f>
        <v>0</v>
      </c>
      <c r="AK17" s="28">
        <f t="array" ref="AK17">SUM(COUNTIFS(E17:AI17,"S1"))/2</f>
        <v>0</v>
      </c>
      <c r="AL17" s="27">
        <f t="array" ref="AL17">SUM(COUNTIFS(E17:AI17,{"S2";"S2, 2";"S2, C1";"S2, C2";"2, S2";"C1, S2";"C2, S2";"3, S2";"S2, 3"}))/2</f>
        <v>0</v>
      </c>
      <c r="AM17" s="29">
        <f t="shared" si="0"/>
        <v>0</v>
      </c>
      <c r="AN17" s="27">
        <f t="array" ref="AN17">SUM(COUNTIFS(E17:AI17,{"2";"2, S2";"S2, 2"}))</f>
        <v>0</v>
      </c>
      <c r="AO17" s="27">
        <f t="array" ref="AO17">SUM(COUNTIFS(E17:AI17,{"1, C1";"C1";"C1, 3";"C1, C2";"S2, C1";"C1, 1";"3, C1";"C2, C1";"C1, S2"}))/2</f>
        <v>0</v>
      </c>
      <c r="AP17" s="27">
        <f t="array" ref="AP17">SUM(COUNTIFS(E17:AI17,{"1, C2";"C1, C2";"C2";"C2, 3";"S2, C2";"C2, 1";"C2, C1";"3, C2";"C2, S2";"C2, HC";"HC, C2"}))/2</f>
        <v>0</v>
      </c>
      <c r="AQ17" s="29">
        <f t="shared" si="1"/>
        <v>0</v>
      </c>
      <c r="AR17" s="27">
        <f t="array" ref="AR17">SUM(COUNTIFS(E17:AI17,{"GR";"HC";"KT";"QA";"C2, HC";"HC, C2"}))+SUM(COUNTIFS(E17:AI17,{"HC1";"HC2"}))/2</f>
        <v>0</v>
      </c>
      <c r="AS17" s="29">
        <f t="shared" si="2"/>
        <v>0</v>
      </c>
      <c r="AT17" s="27">
        <f t="array" ref="AT17">SUM(COUNTIFS(E17:AI17,{"3";"C1, 3";"C2, 3";"3, C1";"3, C2";"3, S2";"S2, 3"}))</f>
        <v>0</v>
      </c>
      <c r="AU17" s="27">
        <f t="array" ref="AU17">SUM(COUNTIFS(E17:AI17,"HCKT"))</f>
        <v>0</v>
      </c>
      <c r="AV17" s="29">
        <f t="shared" si="3"/>
        <v>0</v>
      </c>
      <c r="AW17" s="29">
        <f t="array" ref="AW17">SUM(COUNTIFS(E17:AI17,{"L 1";"L 1, C1";"L 1, C2";"L C2, 1";"L C1, 1"}))</f>
        <v>0</v>
      </c>
      <c r="AX17" s="29">
        <f t="array" ref="AX17">SUM(COUNTIFS(E17:AI17,"L S1"))/2</f>
        <v>0</v>
      </c>
      <c r="AY17" s="29">
        <f t="array" ref="AY17">SUM(COUNTIFS(E17:AI17,{"L S2";"L S2, 2";"L S2, C1";"L S2, C2";"L 2, S2";"L C1, S2";"L C2, S2";"L 3, S2";"L S2, 3"}))/2</f>
        <v>0</v>
      </c>
      <c r="AZ17" s="29">
        <f t="shared" si="4"/>
        <v>0</v>
      </c>
      <c r="BA17" s="29">
        <f t="array" ref="BA17">SUM(COUNTIFS(E17:AI17,{"L 2";"L 2, S2";"L S2, 2"}))</f>
        <v>0</v>
      </c>
      <c r="BB17" s="29">
        <f t="array" ref="BB17">SUM(COUNTIFS(E17:AI17,{"L 1, C1";"L C1";"L C1, 3";"L C1, C2";"L S2, C1";"L C1, 1";"L 3, C1";"L C2, C1";"L C1, S2"}))/2</f>
        <v>0</v>
      </c>
      <c r="BC17" s="29">
        <f t="array" ref="BC17">SUM(COUNTIFS(E17:AI17,{"L 1, C2";"L C1, C2";"L C2";"L C2, 3";"L S2, C2";"L C2, 1";"L C2, C1";"L 3, C2";"L C2, S2";"L C2, HC";"L HC, C2"}))/2</f>
        <v>0</v>
      </c>
      <c r="BD17" s="29">
        <f t="shared" si="5"/>
        <v>0</v>
      </c>
      <c r="BE17" s="29">
        <f t="array" ref="BE17">SUM(COUNTIFS(E17:AI17,{"L GR";"L HC";"L KT";"L QA";"L C2, HC";"L HC, C2"}))+SUM(COUNTIFS(E17:AI17,{"L HC1";"L HC2"}))/2</f>
        <v>0</v>
      </c>
      <c r="BF17" s="29">
        <f t="shared" si="6"/>
        <v>0</v>
      </c>
      <c r="BG17" s="29">
        <f t="array" ref="BG17">SUM(COUNTIFS(E17:AI17,{"L 3";"L C1, 3";"L C2, 3";"L 3, C1";"L 3, C2";"L 3, S2";"L S2, 3"}))</f>
        <v>0</v>
      </c>
      <c r="BH17" s="29">
        <f t="array" ref="BH17">SUM(COUNTIFS(E17:AI17,"L HCKT"))</f>
        <v>0</v>
      </c>
      <c r="BI17" s="29">
        <f t="shared" si="7"/>
        <v>0</v>
      </c>
      <c r="BJ17" s="29" t="s">
        <v>206</v>
      </c>
      <c r="BK17" s="25"/>
    </row>
    <row r="18" spans="1:63" ht="14.4">
      <c r="A18" s="23">
        <v>10</v>
      </c>
      <c r="B18" s="24" t="s">
        <v>188</v>
      </c>
      <c r="C18" s="23">
        <v>7246</v>
      </c>
      <c r="D18" s="25" t="s">
        <v>207</v>
      </c>
      <c r="E18" s="23" t="s">
        <v>196</v>
      </c>
      <c r="F18" s="23" t="s">
        <v>34</v>
      </c>
      <c r="G18" s="23" t="s">
        <v>34</v>
      </c>
      <c r="H18" s="23">
        <v>3</v>
      </c>
      <c r="I18" s="23"/>
      <c r="J18" s="23" t="s">
        <v>32</v>
      </c>
      <c r="K18" s="23" t="s">
        <v>32</v>
      </c>
      <c r="L18" s="23" t="s">
        <v>32</v>
      </c>
      <c r="M18" s="23" t="s">
        <v>32</v>
      </c>
      <c r="N18" s="23"/>
      <c r="O18" s="23"/>
      <c r="P18" s="23">
        <v>2</v>
      </c>
      <c r="Q18" s="23" t="s">
        <v>32</v>
      </c>
      <c r="R18" s="23"/>
      <c r="S18" s="23" t="s">
        <v>32</v>
      </c>
      <c r="T18" s="23" t="s">
        <v>32</v>
      </c>
      <c r="U18" s="23" t="s">
        <v>193</v>
      </c>
      <c r="V18" s="23" t="s">
        <v>32</v>
      </c>
      <c r="W18" s="23" t="s">
        <v>193</v>
      </c>
      <c r="X18" s="23" t="s">
        <v>32</v>
      </c>
      <c r="Y18" s="23" t="s">
        <v>32</v>
      </c>
      <c r="Z18" s="23" t="s">
        <v>32</v>
      </c>
      <c r="AA18" s="23" t="s">
        <v>193</v>
      </c>
      <c r="AB18" s="23">
        <v>1</v>
      </c>
      <c r="AC18" s="23"/>
      <c r="AD18" s="23" t="s">
        <v>29</v>
      </c>
      <c r="AE18" s="23" t="s">
        <v>202</v>
      </c>
      <c r="AF18" s="23" t="s">
        <v>208</v>
      </c>
      <c r="AG18" s="23"/>
      <c r="AH18" s="23"/>
      <c r="AI18" s="26" t="s">
        <v>197</v>
      </c>
      <c r="AJ18" s="27">
        <f t="array" ref="AJ18">SUM(COUNTIFS(E18:AI18,{"1";"1, C1";"1, C2";"C2, 1";"C1, 1"}))</f>
        <v>1</v>
      </c>
      <c r="AK18" s="28">
        <f t="array" ref="AK18">SUM(COUNTIFS(E18:AI18,"S1"))/2</f>
        <v>0</v>
      </c>
      <c r="AL18" s="27">
        <f t="array" ref="AL18">SUM(COUNTIFS(E18:AI18,{"S2";"S2, 2";"S2, C1";"S2, C2";"2, S2";"C1, S2";"C2, S2";"3, S2";"S2, 3"}))/2</f>
        <v>7</v>
      </c>
      <c r="AM18" s="29">
        <f t="shared" si="0"/>
        <v>8</v>
      </c>
      <c r="AN18" s="27">
        <f t="array" ref="AN18">SUM(COUNTIFS(E18:AI18,{"2";"2, S2";"S2, 2"}))</f>
        <v>12</v>
      </c>
      <c r="AO18" s="27">
        <f t="array" ref="AO18">SUM(COUNTIFS(E18:AI18,{"1, C1";"C1";"C1, 3";"C1, C2";"S2, C1";"C1, 1";"3, C1";"C2, C1";"C1, S2"}))/2</f>
        <v>1.5</v>
      </c>
      <c r="AP18" s="27">
        <f t="array" ref="AP18">SUM(COUNTIFS(E18:AI18,{"1, C2";"C1, C2";"C2";"C2, 3";"S2, C2";"C2, 1";"C2, C1";"3, C2";"C2, S2";"C2, HC";"HC, C2"}))/2</f>
        <v>1</v>
      </c>
      <c r="AQ18" s="29">
        <f t="shared" si="1"/>
        <v>14.5</v>
      </c>
      <c r="AR18" s="27">
        <f t="array" ref="AR18">SUM(COUNTIFS(E18:AI18,{"GR";"HC";"KT";"QA";"C2, HC";"HC, C2"}))+SUM(COUNTIFS(E18:AI18,{"HC1";"HC2"}))/2</f>
        <v>1</v>
      </c>
      <c r="AS18" s="29">
        <f t="shared" si="2"/>
        <v>23.5</v>
      </c>
      <c r="AT18" s="27">
        <f t="array" ref="AT18">SUM(COUNTIFS(E18:AI18,{"3";"C1, 3";"C2, 3";"3, C1";"3, C2";"3, S2";"S2, 3"}))</f>
        <v>3</v>
      </c>
      <c r="AU18" s="27">
        <f t="array" ref="AU18">SUM(COUNTIFS(E18:AI18,"HCKT"))</f>
        <v>0</v>
      </c>
      <c r="AV18" s="29">
        <f t="shared" si="3"/>
        <v>26.5</v>
      </c>
      <c r="AW18" s="29">
        <f t="array" ref="AW18">SUM(COUNTIFS(E18:AI18,{"L 1";"L 1, C1";"L 1, C2";"L C2, 1";"L C1, 1"}))</f>
        <v>0</v>
      </c>
      <c r="AX18" s="29">
        <f t="array" ref="AX18">SUM(COUNTIFS(E18:AI18,"L S1"))/2</f>
        <v>0</v>
      </c>
      <c r="AY18" s="29">
        <f t="array" ref="AY18">SUM(COUNTIFS(E18:AI18,{"L S2";"L S2, 2";"L S2, C1";"L S2, C2";"L 2, S2";"L C1, S2";"L C2, S2";"L 3, S2";"L S2, 3"}))/2</f>
        <v>0.5</v>
      </c>
      <c r="AZ18" s="29">
        <f t="shared" si="4"/>
        <v>0.5</v>
      </c>
      <c r="BA18" s="29">
        <f t="array" ref="BA18">SUM(COUNTIFS(E18:AI18,{"L 2";"L 2, S2";"L S2, 2"}))</f>
        <v>0</v>
      </c>
      <c r="BB18" s="29">
        <f t="array" ref="BB18">SUM(COUNTIFS(E18:AI18,{"L 1, C1";"L C1";"L C1, 3";"L C1, C2";"L S2, C1";"L C1, 1";"L 3, C1";"L C2, C1";"L C1, S2"}))/2</f>
        <v>0</v>
      </c>
      <c r="BC18" s="29">
        <f t="array" ref="BC18">SUM(COUNTIFS(E18:AI18,{"L 1, C2";"L C1, C2";"L C2";"L C2, 3";"L S2, C2";"L C2, 1";"L C2, C1";"L 3, C2";"L C2, S2";"L C2, HC";"L HC, C2"}))/2</f>
        <v>0.5</v>
      </c>
      <c r="BD18" s="29">
        <f t="shared" si="5"/>
        <v>0.5</v>
      </c>
      <c r="BE18" s="29">
        <f t="array" ref="BE18">SUM(COUNTIFS(E18:AI18,{"L GR";"L HC";"L KT";"L QA";"L C2, HC";"L HC, C2"}))+SUM(COUNTIFS(E18:AI18,{"L HC1";"L HC2"}))/2</f>
        <v>1</v>
      </c>
      <c r="BF18" s="29">
        <f t="shared" si="6"/>
        <v>2</v>
      </c>
      <c r="BG18" s="29">
        <f t="array" ref="BG18">SUM(COUNTIFS(E18:AI18,{"L 3";"L C1, 3";"L C2, 3";"L 3, C1";"L 3, C2";"L 3, S2";"L S2, 3"}))</f>
        <v>1</v>
      </c>
      <c r="BH18" s="29">
        <f t="array" ref="BH18">SUM(COUNTIFS(E18:AI18,"L HCKT"))</f>
        <v>0</v>
      </c>
      <c r="BI18" s="29">
        <f t="shared" si="7"/>
        <v>3</v>
      </c>
      <c r="BJ18" s="29"/>
      <c r="BK18" s="25"/>
    </row>
    <row r="19" spans="1:63" ht="14.4">
      <c r="A19" s="23">
        <v>11</v>
      </c>
      <c r="B19" s="24" t="s">
        <v>188</v>
      </c>
      <c r="C19" s="23">
        <v>7247</v>
      </c>
      <c r="D19" s="25" t="s">
        <v>209</v>
      </c>
      <c r="E19" s="23"/>
      <c r="F19" s="23" t="s">
        <v>29</v>
      </c>
      <c r="G19" s="23" t="s">
        <v>193</v>
      </c>
      <c r="H19" s="23"/>
      <c r="I19" s="23" t="s">
        <v>34</v>
      </c>
      <c r="J19" s="23"/>
      <c r="K19" s="23" t="s">
        <v>29</v>
      </c>
      <c r="L19" s="23" t="s">
        <v>34</v>
      </c>
      <c r="M19" s="23" t="s">
        <v>34</v>
      </c>
      <c r="N19" s="23">
        <v>3</v>
      </c>
      <c r="O19" s="23" t="s">
        <v>35</v>
      </c>
      <c r="P19" s="23" t="s">
        <v>35</v>
      </c>
      <c r="Q19" s="23" t="s">
        <v>35</v>
      </c>
      <c r="R19" s="23"/>
      <c r="S19" s="23" t="s">
        <v>32</v>
      </c>
      <c r="T19" s="23" t="s">
        <v>35</v>
      </c>
      <c r="U19" s="23" t="s">
        <v>34</v>
      </c>
      <c r="V19" s="23">
        <v>3</v>
      </c>
      <c r="W19" s="23" t="s">
        <v>35</v>
      </c>
      <c r="X19" s="23" t="s">
        <v>35</v>
      </c>
      <c r="Y19" s="23" t="s">
        <v>26</v>
      </c>
      <c r="Z19" s="23">
        <v>3</v>
      </c>
      <c r="AA19" s="23">
        <v>3</v>
      </c>
      <c r="AB19" s="23">
        <v>3</v>
      </c>
      <c r="AC19" s="23"/>
      <c r="AD19" s="23">
        <v>2</v>
      </c>
      <c r="AE19" s="23" t="s">
        <v>196</v>
      </c>
      <c r="AF19" s="23" t="s">
        <v>196</v>
      </c>
      <c r="AG19" s="23" t="s">
        <v>197</v>
      </c>
      <c r="AH19" s="23" t="s">
        <v>208</v>
      </c>
      <c r="AI19" s="23"/>
      <c r="AJ19" s="27">
        <f t="array" ref="AJ19">SUM(COUNTIFS(E19:AI19,{"1";"1, C1";"1, C2";"C2, 1";"C1, 1"}))</f>
        <v>0</v>
      </c>
      <c r="AK19" s="28">
        <f t="array" ref="AK19">SUM(COUNTIFS(E19:AI19,"S1"))/2</f>
        <v>0</v>
      </c>
      <c r="AL19" s="27">
        <f t="array" ref="AL19">SUM(COUNTIFS(E19:AI19,{"S2";"S2, 2";"S2, C1";"S2, C2";"2, S2";"C1, S2";"C2, S2";"3, S2";"S2, 3"}))/2</f>
        <v>1.5</v>
      </c>
      <c r="AM19" s="29">
        <f t="shared" si="0"/>
        <v>1.5</v>
      </c>
      <c r="AN19" s="27">
        <f t="array" ref="AN19">SUM(COUNTIFS(E19:AI19,{"2";"2, S2";"S2, 2"}))</f>
        <v>2</v>
      </c>
      <c r="AO19" s="27">
        <f t="array" ref="AO19">SUM(COUNTIFS(E19:AI19,{"1, C1";"C1";"C1, 3";"C1, C2";"S2, C1";"C1, 1";"3, C1";"C2, C1";"C1, S2"}))/2</f>
        <v>0.5</v>
      </c>
      <c r="AP19" s="27">
        <f t="array" ref="AP19">SUM(COUNTIFS(E19:AI19,{"1, C2";"C1, C2";"C2";"C2, 3";"S2, C2";"C2, 1";"C2, C1";"3, C2";"C2, S2";"C2, HC";"HC, C2"}))/2</f>
        <v>5</v>
      </c>
      <c r="AQ19" s="29">
        <f t="shared" si="1"/>
        <v>7.5</v>
      </c>
      <c r="AR19" s="27">
        <f t="array" ref="AR19">SUM(COUNTIFS(E19:AI19,{"GR";"HC";"KT";"QA";"C2, HC";"HC, C2"}))+SUM(COUNTIFS(E19:AI19,{"HC1";"HC2"}))/2</f>
        <v>2</v>
      </c>
      <c r="AS19" s="29">
        <f t="shared" si="2"/>
        <v>11</v>
      </c>
      <c r="AT19" s="27">
        <f t="array" ref="AT19">SUM(COUNTIFS(E19:AI19,{"3";"C1, 3";"C2, 3";"3, C1";"3, C2";"3, S2";"S2, 3"}))</f>
        <v>9</v>
      </c>
      <c r="AU19" s="27">
        <f t="array" ref="AU19">SUM(COUNTIFS(E19:AI19,"HCKT"))</f>
        <v>0</v>
      </c>
      <c r="AV19" s="29">
        <f t="shared" si="3"/>
        <v>20</v>
      </c>
      <c r="AW19" s="29">
        <f t="array" ref="AW19">SUM(COUNTIFS(E19:AI19,{"L 1";"L 1, C1";"L 1, C2";"L C2, 1";"L C1, 1"}))</f>
        <v>0</v>
      </c>
      <c r="AX19" s="29">
        <f t="array" ref="AX19">SUM(COUNTIFS(E19:AI19,"L S1"))/2</f>
        <v>0</v>
      </c>
      <c r="AY19" s="29">
        <f t="array" ref="AY19">SUM(COUNTIFS(E19:AI19,{"L S2";"L S2, 2";"L S2, C1";"L S2, C2";"L 2, S2";"L C1, S2";"L C2, S2";"L 3, S2";"L S2, 3"}))/2</f>
        <v>0.5</v>
      </c>
      <c r="AZ19" s="29">
        <f t="shared" si="4"/>
        <v>0.5</v>
      </c>
      <c r="BA19" s="29">
        <f t="array" ref="BA19">SUM(COUNTIFS(E19:AI19,{"L 2";"L 2, S2";"L S2, 2"}))</f>
        <v>0</v>
      </c>
      <c r="BB19" s="29">
        <f t="array" ref="BB19">SUM(COUNTIFS(E19:AI19,{"L 1, C1";"L C1";"L C1, 3";"L C1, C2";"L S2, C1";"L C1, 1";"L 3, C1";"L C2, C1";"L C1, S2"}))/2</f>
        <v>0</v>
      </c>
      <c r="BC19" s="29">
        <f t="array" ref="BC19">SUM(COUNTIFS(E19:AI19,{"L 1, C2";"L C1, C2";"L C2";"L C2, 3";"L S2, C2";"L C2, 1";"L C2, C1";"L 3, C2";"L C2, S2";"L C2, HC";"L HC, C2"}))/2</f>
        <v>1</v>
      </c>
      <c r="BD19" s="29">
        <f t="shared" si="5"/>
        <v>1</v>
      </c>
      <c r="BE19" s="29">
        <f t="array" ref="BE19">SUM(COUNTIFS(E19:AI19,{"L GR";"L HC";"L KT";"L QA";"L C2, HC";"L HC, C2"}))+SUM(COUNTIFS(E19:AI19,{"L HC1";"L HC2"}))/2</f>
        <v>0</v>
      </c>
      <c r="BF19" s="29">
        <f t="shared" si="6"/>
        <v>1.5</v>
      </c>
      <c r="BG19" s="29">
        <f t="array" ref="BG19">SUM(COUNTIFS(E19:AI19,{"L 3";"L C1, 3";"L C2, 3";"L 3, C1";"L 3, C2";"L 3, S2";"L S2, 3"}))</f>
        <v>1</v>
      </c>
      <c r="BH19" s="29">
        <f t="array" ref="BH19">SUM(COUNTIFS(E19:AI19,"L HCKT"))</f>
        <v>0</v>
      </c>
      <c r="BI19" s="29">
        <f t="shared" si="7"/>
        <v>2.5</v>
      </c>
      <c r="BJ19" s="29"/>
      <c r="BK19" s="25"/>
    </row>
    <row r="20" spans="1:63" ht="14.4">
      <c r="A20" s="23">
        <v>12</v>
      </c>
      <c r="B20" s="24" t="s">
        <v>188</v>
      </c>
      <c r="C20" s="23">
        <v>7249</v>
      </c>
      <c r="D20" s="25" t="s">
        <v>210</v>
      </c>
      <c r="E20" s="23" t="s">
        <v>198</v>
      </c>
      <c r="F20" s="23" t="s">
        <v>32</v>
      </c>
      <c r="G20" s="23" t="s">
        <v>32</v>
      </c>
      <c r="H20" s="23" t="s">
        <v>32</v>
      </c>
      <c r="I20" s="23" t="s">
        <v>32</v>
      </c>
      <c r="J20" s="23" t="s">
        <v>32</v>
      </c>
      <c r="K20" s="23" t="s">
        <v>32</v>
      </c>
      <c r="L20" s="23" t="s">
        <v>32</v>
      </c>
      <c r="M20" s="23" t="s">
        <v>32</v>
      </c>
      <c r="N20" s="23" t="s">
        <v>32</v>
      </c>
      <c r="O20" s="23">
        <v>2</v>
      </c>
      <c r="P20" s="23">
        <v>2</v>
      </c>
      <c r="Q20" s="23">
        <v>2</v>
      </c>
      <c r="R20" s="23">
        <v>2</v>
      </c>
      <c r="S20" s="23">
        <v>2</v>
      </c>
      <c r="T20" s="23">
        <v>2</v>
      </c>
      <c r="U20" s="23">
        <v>2</v>
      </c>
      <c r="V20" s="23">
        <v>2</v>
      </c>
      <c r="W20" s="23">
        <v>2</v>
      </c>
      <c r="X20" s="23">
        <v>2</v>
      </c>
      <c r="Y20" s="23">
        <v>2</v>
      </c>
      <c r="Z20" s="23" t="s">
        <v>32</v>
      </c>
      <c r="AA20" s="23">
        <v>2</v>
      </c>
      <c r="AB20" s="23">
        <v>2</v>
      </c>
      <c r="AC20" s="23"/>
      <c r="AD20" s="23"/>
      <c r="AE20" s="23"/>
      <c r="AF20" s="23"/>
      <c r="AG20" s="23"/>
      <c r="AH20" s="23"/>
      <c r="AI20" s="26"/>
      <c r="AJ20" s="27">
        <f t="array" ref="AJ20">SUM(COUNTIFS(E20:AI20,{"1";"1, C1";"1, C2";"C2, 1";"C1, 1"}))</f>
        <v>0</v>
      </c>
      <c r="AK20" s="28">
        <f t="array" ref="AK20">SUM(COUNTIFS(E20:AI20,"S1"))/2</f>
        <v>0</v>
      </c>
      <c r="AL20" s="27">
        <f t="array" ref="AL20">SUM(COUNTIFS(E20:AI20,{"S2";"S2, 2";"S2, C1";"S2, C2";"2, S2";"C1, S2";"C2, S2";"3, S2";"S2, 3"}))/2</f>
        <v>5</v>
      </c>
      <c r="AM20" s="29">
        <f t="shared" si="0"/>
        <v>5</v>
      </c>
      <c r="AN20" s="27">
        <f t="array" ref="AN20">SUM(COUNTIFS(E20:AI20,{"2";"2, S2";"S2, 2"}))</f>
        <v>23</v>
      </c>
      <c r="AO20" s="27">
        <f t="array" ref="AO20">SUM(COUNTIFS(E20:AI20,{"1, C1";"C1";"C1, 3";"C1, C2";"S2, C1";"C1, 1";"3, C1";"C2, C1";"C1, S2"}))/2</f>
        <v>0</v>
      </c>
      <c r="AP20" s="27">
        <f t="array" ref="AP20">SUM(COUNTIFS(E20:AI20,{"1, C2";"C1, C2";"C2";"C2, 3";"S2, C2";"C2, 1";"C2, C1";"3, C2";"C2, S2";"C2, HC";"HC, C2"}))/2</f>
        <v>0</v>
      </c>
      <c r="AQ20" s="29">
        <f t="shared" si="1"/>
        <v>23</v>
      </c>
      <c r="AR20" s="27">
        <f t="array" ref="AR20">SUM(COUNTIFS(E20:AI20,{"GR";"HC";"KT";"QA";"C2, HC";"HC, C2"}))+SUM(COUNTIFS(E20:AI20,{"HC1";"HC2"}))/2</f>
        <v>0</v>
      </c>
      <c r="AS20" s="29">
        <f t="shared" si="2"/>
        <v>28</v>
      </c>
      <c r="AT20" s="27">
        <f t="array" ref="AT20">SUM(COUNTIFS(E20:AI20,{"3";"C1, 3";"C2, 3";"3, C1";"3, C2";"3, S2";"S2, 3"}))</f>
        <v>0</v>
      </c>
      <c r="AU20" s="27">
        <f t="array" ref="AU20">SUM(COUNTIFS(E20:AI20,"HCKT"))</f>
        <v>0</v>
      </c>
      <c r="AV20" s="29">
        <f t="shared" si="3"/>
        <v>28</v>
      </c>
      <c r="AW20" s="29">
        <f t="array" ref="AW20">SUM(COUNTIFS(E20:AI20,{"L 1";"L 1, C1";"L 1, C2";"L C2, 1";"L C1, 1"}))</f>
        <v>0</v>
      </c>
      <c r="AX20" s="29">
        <f t="array" ref="AX20">SUM(COUNTIFS(E20:AI20,"L S1"))/2</f>
        <v>0</v>
      </c>
      <c r="AY20" s="29">
        <f t="array" ref="AY20">SUM(COUNTIFS(E20:AI20,{"L S2";"L S2, 2";"L S2, C1";"L S2, C2";"L 2, S2";"L C1, S2";"L C2, S2";"L 3, S2";"L S2, 3"}))/2</f>
        <v>0</v>
      </c>
      <c r="AZ20" s="29">
        <f t="shared" si="4"/>
        <v>0</v>
      </c>
      <c r="BA20" s="29">
        <f t="array" ref="BA20">SUM(COUNTIFS(E20:AI20,{"L 2";"L 2, S2";"L S2, 2"}))</f>
        <v>1</v>
      </c>
      <c r="BB20" s="29">
        <f t="array" ref="BB20">SUM(COUNTIFS(E20:AI20,{"L 1, C1";"L C1";"L C1, 3";"L C1, C2";"L S2, C1";"L C1, 1";"L 3, C1";"L C2, C1";"L C1, S2"}))/2</f>
        <v>0</v>
      </c>
      <c r="BC20" s="29">
        <f t="array" ref="BC20">SUM(COUNTIFS(E20:AI20,{"L 1, C2";"L C1, C2";"L C2";"L C2, 3";"L S2, C2";"L C2, 1";"L C2, C1";"L 3, C2";"L C2, S2";"L C2, HC";"L HC, C2"}))/2</f>
        <v>0</v>
      </c>
      <c r="BD20" s="29">
        <f t="shared" si="5"/>
        <v>1</v>
      </c>
      <c r="BE20" s="29">
        <f t="array" ref="BE20">SUM(COUNTIFS(E20:AI20,{"L GR";"L HC";"L KT";"L QA";"L C2, HC";"L HC, C2"}))+SUM(COUNTIFS(E20:AI20,{"L HC1";"L HC2"}))/2</f>
        <v>0</v>
      </c>
      <c r="BF20" s="29">
        <f t="shared" si="6"/>
        <v>1</v>
      </c>
      <c r="BG20" s="29">
        <f t="array" ref="BG20">SUM(COUNTIFS(E20:AI20,{"L 3";"L C1, 3";"L C2, 3";"L 3, C1";"L 3, C2";"L 3, S2";"L S2, 3"}))</f>
        <v>0</v>
      </c>
      <c r="BH20" s="29">
        <f t="array" ref="BH20">SUM(COUNTIFS(E20:AI20,"L HCKT"))</f>
        <v>0</v>
      </c>
      <c r="BI20" s="29">
        <f t="shared" si="7"/>
        <v>1</v>
      </c>
      <c r="BJ20" s="29"/>
      <c r="BK20" s="25"/>
    </row>
    <row r="21" spans="1:63" ht="15.75" customHeight="1">
      <c r="A21" s="23">
        <v>13</v>
      </c>
      <c r="B21" s="24" t="s">
        <v>188</v>
      </c>
      <c r="C21" s="23">
        <v>7250</v>
      </c>
      <c r="D21" s="25" t="s">
        <v>211</v>
      </c>
      <c r="E21" s="23" t="s">
        <v>196</v>
      </c>
      <c r="F21" s="23" t="s">
        <v>193</v>
      </c>
      <c r="G21" s="23" t="s">
        <v>29</v>
      </c>
      <c r="H21" s="23" t="s">
        <v>33</v>
      </c>
      <c r="I21" s="23">
        <v>2</v>
      </c>
      <c r="J21" s="23">
        <v>3</v>
      </c>
      <c r="K21" s="23"/>
      <c r="L21" s="23" t="s">
        <v>29</v>
      </c>
      <c r="M21" s="23" t="s">
        <v>29</v>
      </c>
      <c r="N21" s="23" t="s">
        <v>29</v>
      </c>
      <c r="O21" s="23" t="s">
        <v>26</v>
      </c>
      <c r="P21" s="23" t="s">
        <v>29</v>
      </c>
      <c r="Q21" s="23" t="s">
        <v>29</v>
      </c>
      <c r="R21" s="23" t="s">
        <v>29</v>
      </c>
      <c r="S21" s="23">
        <v>1</v>
      </c>
      <c r="T21" s="23" t="s">
        <v>26</v>
      </c>
      <c r="U21" s="23">
        <v>2</v>
      </c>
      <c r="V21" s="23"/>
      <c r="W21" s="23" t="s">
        <v>193</v>
      </c>
      <c r="X21" s="23" t="s">
        <v>34</v>
      </c>
      <c r="Y21" s="23"/>
      <c r="Z21" s="23" t="s">
        <v>29</v>
      </c>
      <c r="AA21" s="23" t="s">
        <v>26</v>
      </c>
      <c r="AB21" s="23"/>
      <c r="AC21" s="23">
        <v>3</v>
      </c>
      <c r="AD21" s="23">
        <v>3</v>
      </c>
      <c r="AE21" s="23" t="s">
        <v>212</v>
      </c>
      <c r="AF21" s="23" t="s">
        <v>212</v>
      </c>
      <c r="AG21" s="23"/>
      <c r="AH21" s="23"/>
      <c r="AI21" s="26" t="s">
        <v>208</v>
      </c>
      <c r="AJ21" s="27">
        <f t="array" ref="AJ21">SUM(COUNTIFS(E21:AI21,{"1";"1, C1";"1, C2";"C2, 1";"C1, 1"}))</f>
        <v>1</v>
      </c>
      <c r="AK21" s="28">
        <f t="array" ref="AK21">SUM(COUNTIFS(E21:AI21,"S1"))/2</f>
        <v>0</v>
      </c>
      <c r="AL21" s="27">
        <f t="array" ref="AL21">SUM(COUNTIFS(E21:AI21,{"S2";"S2, 2";"S2, C1";"S2, C2";"2, S2";"C1, S2";"C2, S2";"3, S2";"S2, 3"}))/2</f>
        <v>2.5</v>
      </c>
      <c r="AM21" s="29">
        <f t="shared" si="0"/>
        <v>3.5</v>
      </c>
      <c r="AN21" s="27">
        <f t="array" ref="AN21">SUM(COUNTIFS(E21:AI21,{"2";"2, S2";"S2, 2"}))</f>
        <v>2</v>
      </c>
      <c r="AO21" s="27">
        <f t="array" ref="AO21">SUM(COUNTIFS(E21:AI21,{"1, C1";"C1";"C1, 3";"C1, C2";"S2, C1";"C1, 1";"3, C1";"C2, C1";"C1, S2"}))/2</f>
        <v>1.5</v>
      </c>
      <c r="AP21" s="27">
        <f t="array" ref="AP21">SUM(COUNTIFS(E21:AI21,{"1, C2";"C1, C2";"C2";"C2, 3";"S2, C2";"C2, 1";"C2, C1";"3, C2";"C2, S2";"C2, HC";"HC, C2"}))/2</f>
        <v>0.5</v>
      </c>
      <c r="AQ21" s="29">
        <f t="shared" si="1"/>
        <v>4</v>
      </c>
      <c r="AR21" s="27">
        <f t="array" ref="AR21">SUM(COUNTIFS(E21:AI21,{"GR";"HC";"KT";"QA";"C2, HC";"HC, C2"}))+SUM(COUNTIFS(E21:AI21,{"HC1";"HC2"}))/2</f>
        <v>8</v>
      </c>
      <c r="AS21" s="29">
        <f t="shared" si="2"/>
        <v>15.5</v>
      </c>
      <c r="AT21" s="27">
        <f t="array" ref="AT21">SUM(COUNTIFS(E21:AI21,{"3";"C1, 3";"C2, 3";"3, C1";"3, C2";"3, S2";"S2, 3"}))</f>
        <v>4</v>
      </c>
      <c r="AU21" s="27">
        <f t="array" ref="AU21">SUM(COUNTIFS(E21:AI21,"HCKT"))</f>
        <v>0</v>
      </c>
      <c r="AV21" s="29">
        <f t="shared" si="3"/>
        <v>19.5</v>
      </c>
      <c r="AW21" s="29">
        <f t="array" ref="AW21">SUM(COUNTIFS(E21:AI21,{"L 1";"L 1, C1";"L 1, C2";"L C2, 1";"L C1, 1"}))</f>
        <v>0</v>
      </c>
      <c r="AX21" s="29">
        <f t="array" ref="AX21">SUM(COUNTIFS(E21:AI21,"L S1"))/2</f>
        <v>0</v>
      </c>
      <c r="AY21" s="29">
        <f t="array" ref="AY21">SUM(COUNTIFS(E21:AI21,{"L S2";"L S2, 2";"L S2, C1";"L S2, C2";"L 2, S2";"L C1, S2";"L C2, S2";"L 3, S2";"L S2, 3"}))/2</f>
        <v>0</v>
      </c>
      <c r="AZ21" s="29">
        <f t="shared" si="4"/>
        <v>0</v>
      </c>
      <c r="BA21" s="29">
        <f t="array" ref="BA21">SUM(COUNTIFS(E21:AI21,{"L 2";"L 2, S2";"L S2, 2"}))</f>
        <v>0</v>
      </c>
      <c r="BB21" s="29">
        <f t="array" ref="BB21">SUM(COUNTIFS(E21:AI21,{"L 1, C1";"L C1";"L C1, 3";"L C1, C2";"L S2, C1";"L C1, 1";"L 3, C1";"L C2, C1";"L C1, S2"}))/2</f>
        <v>0</v>
      </c>
      <c r="BC21" s="29">
        <f t="array" ref="BC21">SUM(COUNTIFS(E21:AI21,{"L 1, C2";"L C1, C2";"L C2";"L C2, 3";"L S2, C2";"L C2, 1";"L C2, C1";"L 3, C2";"L C2, S2";"L C2, HC";"L HC, C2"}))/2</f>
        <v>1.5</v>
      </c>
      <c r="BD21" s="29">
        <f t="shared" si="5"/>
        <v>1.5</v>
      </c>
      <c r="BE21" s="29">
        <f t="array" ref="BE21">SUM(COUNTIFS(E21:AI21,{"L GR";"L HC";"L KT";"L QA";"L C2, HC";"L HC, C2"}))+SUM(COUNTIFS(E21:AI21,{"L HC1";"L HC2"}))/2</f>
        <v>0</v>
      </c>
      <c r="BF21" s="29">
        <f t="shared" si="6"/>
        <v>1.5</v>
      </c>
      <c r="BG21" s="29">
        <f t="array" ref="BG21">SUM(COUNTIFS(E21:AI21,{"L 3";"L C1, 3";"L C2, 3";"L 3, C1";"L 3, C2";"L 3, S2";"L S2, 3"}))</f>
        <v>3</v>
      </c>
      <c r="BH21" s="29">
        <f t="array" ref="BH21">SUM(COUNTIFS(E21:AI21,"L HCKT"))</f>
        <v>0</v>
      </c>
      <c r="BI21" s="29">
        <f t="shared" si="7"/>
        <v>4.5</v>
      </c>
      <c r="BJ21" s="29"/>
      <c r="BK21" s="25"/>
    </row>
    <row r="22" spans="1:63" ht="15.75" customHeight="1">
      <c r="A22" s="23">
        <v>14</v>
      </c>
      <c r="B22" s="24" t="s">
        <v>188</v>
      </c>
      <c r="C22" s="23">
        <v>7251</v>
      </c>
      <c r="D22" s="25" t="s">
        <v>213</v>
      </c>
      <c r="E22" s="23" t="s">
        <v>202</v>
      </c>
      <c r="F22" s="23" t="s">
        <v>29</v>
      </c>
      <c r="G22" s="23" t="s">
        <v>29</v>
      </c>
      <c r="H22" s="23"/>
      <c r="I22" s="23" t="s">
        <v>29</v>
      </c>
      <c r="J22" s="23" t="s">
        <v>29</v>
      </c>
      <c r="K22" s="23" t="s">
        <v>29</v>
      </c>
      <c r="L22" s="23" t="s">
        <v>29</v>
      </c>
      <c r="M22" s="23" t="s">
        <v>193</v>
      </c>
      <c r="N22" s="23" t="s">
        <v>29</v>
      </c>
      <c r="O22" s="23"/>
      <c r="P22" s="23" t="s">
        <v>29</v>
      </c>
      <c r="Q22" s="23" t="s">
        <v>29</v>
      </c>
      <c r="R22" s="23" t="s">
        <v>29</v>
      </c>
      <c r="S22" s="23" t="s">
        <v>29</v>
      </c>
      <c r="T22" s="23" t="s">
        <v>29</v>
      </c>
      <c r="U22" s="23" t="s">
        <v>29</v>
      </c>
      <c r="V22" s="23" t="s">
        <v>29</v>
      </c>
      <c r="W22" s="23" t="s">
        <v>29</v>
      </c>
      <c r="X22" s="23" t="s">
        <v>29</v>
      </c>
      <c r="Y22" s="23" t="s">
        <v>29</v>
      </c>
      <c r="Z22" s="23"/>
      <c r="AA22" s="23" t="s">
        <v>29</v>
      </c>
      <c r="AB22" s="23" t="s">
        <v>29</v>
      </c>
      <c r="AC22" s="23" t="s">
        <v>29</v>
      </c>
      <c r="AD22" s="23" t="s">
        <v>29</v>
      </c>
      <c r="AE22" s="23"/>
      <c r="AF22" s="23" t="s">
        <v>202</v>
      </c>
      <c r="AG22" s="23"/>
      <c r="AH22" s="23"/>
      <c r="AI22" s="23" t="s">
        <v>198</v>
      </c>
      <c r="AJ22" s="27">
        <f t="array" ref="AJ22">SUM(COUNTIFS(E22:AI22,{"1";"1, C1";"1, C2";"C2, 1";"C1, 1"}))</f>
        <v>0</v>
      </c>
      <c r="AK22" s="28">
        <f t="array" ref="AK22">SUM(COUNTIFS(E22:AI22,"S1"))/2</f>
        <v>0</v>
      </c>
      <c r="AL22" s="27">
        <f t="array" ref="AL22">SUM(COUNTIFS(E22:AI22,{"S2";"S2, 2";"S2, C1";"S2, C2";"2, S2";"C1, S2";"C2, S2";"3, S2";"S2, 3"}))/2</f>
        <v>0.5</v>
      </c>
      <c r="AM22" s="29">
        <f t="shared" si="0"/>
        <v>0.5</v>
      </c>
      <c r="AN22" s="27">
        <f t="array" ref="AN22">SUM(COUNTIFS(E22:AI22,{"2";"2, S2";"S2, 2"}))</f>
        <v>0</v>
      </c>
      <c r="AO22" s="27">
        <f t="array" ref="AO22">SUM(COUNTIFS(E22:AI22,{"1, C1";"C1";"C1, 3";"C1, C2";"S2, C1";"C1, 1";"3, C1";"C2, C1";"C1, S2"}))/2</f>
        <v>0.5</v>
      </c>
      <c r="AP22" s="27">
        <f t="array" ref="AP22">SUM(COUNTIFS(E22:AI22,{"1, C2";"C1, C2";"C2";"C2, 3";"S2, C2";"C2, 1";"C2, C1";"3, C2";"C2, S2";"C2, HC";"HC, C2"}))/2</f>
        <v>0</v>
      </c>
      <c r="AQ22" s="29">
        <f t="shared" si="1"/>
        <v>0.5</v>
      </c>
      <c r="AR22" s="27">
        <f t="array" ref="AR22">SUM(COUNTIFS(E22:AI22,{"GR";"HC";"KT";"QA";"C2, HC";"HC, C2"}))+SUM(COUNTIFS(E22:AI22,{"HC1";"HC2"}))/2</f>
        <v>21</v>
      </c>
      <c r="AS22" s="29">
        <f t="shared" si="2"/>
        <v>22</v>
      </c>
      <c r="AT22" s="27">
        <f t="array" ref="AT22">SUM(COUNTIFS(E22:AI22,{"3";"C1, 3";"C2, 3";"3, C1";"3, C2";"3, S2";"S2, 3"}))</f>
        <v>0</v>
      </c>
      <c r="AU22" s="27">
        <f t="array" ref="AU22">SUM(COUNTIFS(E22:AI22,"HCKT"))</f>
        <v>0</v>
      </c>
      <c r="AV22" s="29">
        <f t="shared" si="3"/>
        <v>22</v>
      </c>
      <c r="AW22" s="29">
        <f t="array" ref="AW22">SUM(COUNTIFS(E22:AI22,{"L 1";"L 1, C1";"L 1, C2";"L C2, 1";"L C1, 1"}))</f>
        <v>0</v>
      </c>
      <c r="AX22" s="29">
        <f t="array" ref="AX22">SUM(COUNTIFS(E22:AI22,"L S1"))/2</f>
        <v>0</v>
      </c>
      <c r="AY22" s="29">
        <f t="array" ref="AY22">SUM(COUNTIFS(E22:AI22,{"L S2";"L S2, 2";"L S2, C1";"L S2, C2";"L 2, S2";"L C1, S2";"L C2, S2";"L 3, S2";"L S2, 3"}))/2</f>
        <v>0</v>
      </c>
      <c r="AZ22" s="29">
        <f t="shared" si="4"/>
        <v>0</v>
      </c>
      <c r="BA22" s="29">
        <f t="array" ref="BA22">SUM(COUNTIFS(E22:AI22,{"L 2";"L 2, S2";"L S2, 2"}))</f>
        <v>1</v>
      </c>
      <c r="BB22" s="29">
        <f t="array" ref="BB22">SUM(COUNTIFS(E22:AI22,{"L 1, C1";"L C1";"L C1, 3";"L C1, C2";"L S2, C1";"L C1, 1";"L 3, C1";"L C2, C1";"L C1, S2"}))/2</f>
        <v>0</v>
      </c>
      <c r="BC22" s="29">
        <f t="array" ref="BC22">SUM(COUNTIFS(E22:AI22,{"L 1, C2";"L C1, C2";"L C2";"L C2, 3";"L S2, C2";"L C2, 1";"L C2, C1";"L 3, C2";"L C2, S2";"L C2, HC";"L HC, C2"}))/2</f>
        <v>0</v>
      </c>
      <c r="BD22" s="29">
        <f t="shared" si="5"/>
        <v>1</v>
      </c>
      <c r="BE22" s="29">
        <f t="array" ref="BE22">SUM(COUNTIFS(E22:AI22,{"L GR";"L HC";"L KT";"L QA";"L C2, HC";"L HC, C2"}))+SUM(COUNTIFS(E22:AI22,{"L HC1";"L HC2"}))/2</f>
        <v>2</v>
      </c>
      <c r="BF22" s="29">
        <f t="shared" si="6"/>
        <v>3</v>
      </c>
      <c r="BG22" s="29">
        <f t="array" ref="BG22">SUM(COUNTIFS(E22:AI22,{"L 3";"L C1, 3";"L C2, 3";"L 3, C1";"L 3, C2";"L 3, S2";"L S2, 3"}))</f>
        <v>0</v>
      </c>
      <c r="BH22" s="29">
        <f t="array" ref="BH22">SUM(COUNTIFS(E22:AI22,"L HCKT"))</f>
        <v>0</v>
      </c>
      <c r="BI22" s="29">
        <f t="shared" si="7"/>
        <v>3</v>
      </c>
      <c r="BJ22" s="29"/>
      <c r="BK22" s="25"/>
    </row>
    <row r="23" spans="1:63" ht="15.75" customHeight="1">
      <c r="A23" s="23">
        <v>15</v>
      </c>
      <c r="B23" s="24" t="s">
        <v>188</v>
      </c>
      <c r="C23" s="23">
        <v>7252</v>
      </c>
      <c r="D23" s="25" t="s">
        <v>214</v>
      </c>
      <c r="E23" s="23" t="s">
        <v>202</v>
      </c>
      <c r="F23" s="23" t="s">
        <v>29</v>
      </c>
      <c r="G23" s="23" t="s">
        <v>29</v>
      </c>
      <c r="H23" s="23"/>
      <c r="I23" s="23" t="s">
        <v>29</v>
      </c>
      <c r="J23" s="23" t="s">
        <v>29</v>
      </c>
      <c r="K23" s="23" t="s">
        <v>29</v>
      </c>
      <c r="L23" s="23" t="s">
        <v>29</v>
      </c>
      <c r="M23" s="23" t="s">
        <v>193</v>
      </c>
      <c r="N23" s="23" t="s">
        <v>29</v>
      </c>
      <c r="O23" s="23"/>
      <c r="P23" s="23" t="s">
        <v>29</v>
      </c>
      <c r="Q23" s="23" t="s">
        <v>29</v>
      </c>
      <c r="R23" s="23" t="s">
        <v>29</v>
      </c>
      <c r="S23" s="23" t="s">
        <v>29</v>
      </c>
      <c r="T23" s="23" t="s">
        <v>29</v>
      </c>
      <c r="U23" s="23" t="s">
        <v>29</v>
      </c>
      <c r="V23" s="23" t="s">
        <v>29</v>
      </c>
      <c r="W23" s="23" t="s">
        <v>29</v>
      </c>
      <c r="X23" s="23" t="s">
        <v>29</v>
      </c>
      <c r="Y23" s="23" t="s">
        <v>29</v>
      </c>
      <c r="Z23" s="23"/>
      <c r="AA23" s="23" t="s">
        <v>29</v>
      </c>
      <c r="AB23" s="23" t="s">
        <v>29</v>
      </c>
      <c r="AC23" s="23" t="s">
        <v>29</v>
      </c>
      <c r="AD23" s="23" t="s">
        <v>29</v>
      </c>
      <c r="AE23" s="23"/>
      <c r="AF23" s="23" t="s">
        <v>202</v>
      </c>
      <c r="AG23" s="23"/>
      <c r="AH23" s="23"/>
      <c r="AI23" s="26" t="s">
        <v>198</v>
      </c>
      <c r="AJ23" s="27">
        <f t="array" ref="AJ23">SUM(COUNTIFS(E23:AI23,{"1";"1, C1";"1, C2";"C2, 1";"C1, 1"}))</f>
        <v>0</v>
      </c>
      <c r="AK23" s="28">
        <f t="array" ref="AK23">SUM(COUNTIFS(E23:AI23,"S1"))/2</f>
        <v>0</v>
      </c>
      <c r="AL23" s="27">
        <f t="array" ref="AL23">SUM(COUNTIFS(E23:AI23,{"S2";"S2, 2";"S2, C1";"S2, C2";"2, S2";"C1, S2";"C2, S2";"3, S2";"S2, 3"}))/2</f>
        <v>0.5</v>
      </c>
      <c r="AM23" s="29">
        <f t="shared" si="0"/>
        <v>0.5</v>
      </c>
      <c r="AN23" s="27">
        <f t="array" ref="AN23">SUM(COUNTIFS(E23:AI23,{"2";"2, S2";"S2, 2"}))</f>
        <v>0</v>
      </c>
      <c r="AO23" s="27">
        <f t="array" ref="AO23">SUM(COUNTIFS(E23:AI23,{"1, C1";"C1";"C1, 3";"C1, C2";"S2, C1";"C1, 1";"3, C1";"C2, C1";"C1, S2"}))/2</f>
        <v>0.5</v>
      </c>
      <c r="AP23" s="27">
        <f t="array" ref="AP23">SUM(COUNTIFS(E23:AI23,{"1, C2";"C1, C2";"C2";"C2, 3";"S2, C2";"C2, 1";"C2, C1";"3, C2";"C2, S2";"C2, HC";"HC, C2"}))/2</f>
        <v>0</v>
      </c>
      <c r="AQ23" s="29">
        <f t="shared" si="1"/>
        <v>0.5</v>
      </c>
      <c r="AR23" s="27">
        <f t="array" ref="AR23">SUM(COUNTIFS(E23:AI23,{"GR";"HC";"KT";"QA";"C2, HC";"HC, C2"}))+SUM(COUNTIFS(E23:AI23,{"HC1";"HC2"}))/2</f>
        <v>21</v>
      </c>
      <c r="AS23" s="29">
        <f t="shared" si="2"/>
        <v>22</v>
      </c>
      <c r="AT23" s="27">
        <f t="array" ref="AT23">SUM(COUNTIFS(E23:AI23,{"3";"C1, 3";"C2, 3";"3, C1";"3, C2";"3, S2";"S2, 3"}))</f>
        <v>0</v>
      </c>
      <c r="AU23" s="27">
        <f t="array" ref="AU23">SUM(COUNTIFS(E23:AI23,"HCKT"))</f>
        <v>0</v>
      </c>
      <c r="AV23" s="29">
        <f t="shared" si="3"/>
        <v>22</v>
      </c>
      <c r="AW23" s="29">
        <f t="array" ref="AW23">SUM(COUNTIFS(E23:AI23,{"L 1";"L 1, C1";"L 1, C2";"L C2, 1";"L C1, 1"}))</f>
        <v>0</v>
      </c>
      <c r="AX23" s="29">
        <f t="array" ref="AX23">SUM(COUNTIFS(E23:AI23,"L S1"))/2</f>
        <v>0</v>
      </c>
      <c r="AY23" s="29">
        <f t="array" ref="AY23">SUM(COUNTIFS(E23:AI23,{"L S2";"L S2, 2";"L S2, C1";"L S2, C2";"L 2, S2";"L C1, S2";"L C2, S2";"L 3, S2";"L S2, 3"}))/2</f>
        <v>0</v>
      </c>
      <c r="AZ23" s="29">
        <f t="shared" si="4"/>
        <v>0</v>
      </c>
      <c r="BA23" s="29">
        <f t="array" ref="BA23">SUM(COUNTIFS(E23:AI23,{"L 2";"L 2, S2";"L S2, 2"}))</f>
        <v>1</v>
      </c>
      <c r="BB23" s="29">
        <f t="array" ref="BB23">SUM(COUNTIFS(E23:AI23,{"L 1, C1";"L C1";"L C1, 3";"L C1, C2";"L S2, C1";"L C1, 1";"L 3, C1";"L C2, C1";"L C1, S2"}))/2</f>
        <v>0</v>
      </c>
      <c r="BC23" s="29">
        <f t="array" ref="BC23">SUM(COUNTIFS(E23:AI23,{"L 1, C2";"L C1, C2";"L C2";"L C2, 3";"L S2, C2";"L C2, 1";"L C2, C1";"L 3, C2";"L C2, S2";"L C2, HC";"L HC, C2"}))/2</f>
        <v>0</v>
      </c>
      <c r="BD23" s="29">
        <f t="shared" si="5"/>
        <v>1</v>
      </c>
      <c r="BE23" s="29">
        <f t="array" ref="BE23">SUM(COUNTIFS(E23:AI23,{"L GR";"L HC";"L KT";"L QA";"L C2, HC";"L HC, C2"}))+SUM(COUNTIFS(E23:AI23,{"L HC1";"L HC2"}))/2</f>
        <v>2</v>
      </c>
      <c r="BF23" s="29">
        <f t="shared" si="6"/>
        <v>3</v>
      </c>
      <c r="BG23" s="29">
        <f t="array" ref="BG23">SUM(COUNTIFS(E23:AI23,{"L 3";"L C1, 3";"L C2, 3";"L 3, C1";"L 3, C2";"L 3, S2";"L S2, 3"}))</f>
        <v>0</v>
      </c>
      <c r="BH23" s="29">
        <f t="array" ref="BH23">SUM(COUNTIFS(E23:AI23,"L HCKT"))</f>
        <v>0</v>
      </c>
      <c r="BI23" s="29">
        <f t="shared" si="7"/>
        <v>3</v>
      </c>
      <c r="BJ23" s="29"/>
      <c r="BK23" s="25"/>
    </row>
    <row r="24" spans="1:63" ht="15.75" customHeight="1">
      <c r="A24" s="23">
        <v>16</v>
      </c>
      <c r="B24" s="24" t="s">
        <v>188</v>
      </c>
      <c r="C24" s="23">
        <v>7262</v>
      </c>
      <c r="D24" s="25" t="s">
        <v>215</v>
      </c>
      <c r="E24" s="23" t="s">
        <v>208</v>
      </c>
      <c r="F24" s="23"/>
      <c r="G24" s="23" t="s">
        <v>29</v>
      </c>
      <c r="H24" s="23" t="s">
        <v>29</v>
      </c>
      <c r="I24" s="23" t="s">
        <v>193</v>
      </c>
      <c r="J24" s="23" t="s">
        <v>29</v>
      </c>
      <c r="K24" s="23">
        <v>3</v>
      </c>
      <c r="L24" s="23"/>
      <c r="M24" s="23" t="s">
        <v>193</v>
      </c>
      <c r="N24" s="23" t="s">
        <v>193</v>
      </c>
      <c r="O24" s="23" t="s">
        <v>34</v>
      </c>
      <c r="P24" s="23">
        <v>3</v>
      </c>
      <c r="Q24" s="23">
        <v>3</v>
      </c>
      <c r="R24" s="23"/>
      <c r="S24" s="23"/>
      <c r="T24" s="23" t="s">
        <v>29</v>
      </c>
      <c r="U24" s="23">
        <v>1</v>
      </c>
      <c r="V24" s="23">
        <v>1</v>
      </c>
      <c r="W24" s="23" t="s">
        <v>34</v>
      </c>
      <c r="X24" s="23">
        <v>3</v>
      </c>
      <c r="Y24" s="23">
        <v>3</v>
      </c>
      <c r="Z24" s="23"/>
      <c r="AA24" s="23">
        <v>1</v>
      </c>
      <c r="AB24" s="23" t="s">
        <v>29</v>
      </c>
      <c r="AC24" s="23">
        <v>1</v>
      </c>
      <c r="AD24" s="23">
        <v>3</v>
      </c>
      <c r="AE24" s="23" t="s">
        <v>212</v>
      </c>
      <c r="AF24" s="23" t="s">
        <v>208</v>
      </c>
      <c r="AG24" s="23"/>
      <c r="AH24" s="23" t="s">
        <v>198</v>
      </c>
      <c r="AI24" s="26" t="s">
        <v>208</v>
      </c>
      <c r="AJ24" s="27">
        <f t="array" ref="AJ24">SUM(COUNTIFS(E24:AI24,{"1";"1, C1";"1, C2";"C2, 1";"C1, 1"}))</f>
        <v>4</v>
      </c>
      <c r="AK24" s="28">
        <f t="array" ref="AK24">SUM(COUNTIFS(E24:AI24,"S1"))/2</f>
        <v>0</v>
      </c>
      <c r="AL24" s="27">
        <f t="array" ref="AL24">SUM(COUNTIFS(E24:AI24,{"S2";"S2, 2";"S2, C1";"S2, C2";"2, S2";"C1, S2";"C2, S2";"3, S2";"S2, 3"}))/2</f>
        <v>1.5</v>
      </c>
      <c r="AM24" s="29">
        <f t="shared" si="0"/>
        <v>5.5</v>
      </c>
      <c r="AN24" s="27">
        <f t="array" ref="AN24">SUM(COUNTIFS(E24:AI24,{"2";"2, S2";"S2, 2"}))</f>
        <v>0</v>
      </c>
      <c r="AO24" s="27">
        <f t="array" ref="AO24">SUM(COUNTIFS(E24:AI24,{"1, C1";"C1";"C1, 3";"C1, C2";"S2, C1";"C1, 1";"3, C1";"C2, C1";"C1, S2"}))/2</f>
        <v>1.5</v>
      </c>
      <c r="AP24" s="27">
        <f t="array" ref="AP24">SUM(COUNTIFS(E24:AI24,{"1, C2";"C1, C2";"C2";"C2, 3";"S2, C2";"C2, 1";"C2, C1";"3, C2";"C2, S2";"C2, HC";"HC, C2"}))/2</f>
        <v>1</v>
      </c>
      <c r="AQ24" s="29">
        <f t="shared" si="1"/>
        <v>2.5</v>
      </c>
      <c r="AR24" s="27">
        <f t="array" ref="AR24">SUM(COUNTIFS(E24:AI24,{"GR";"HC";"KT";"QA";"C2, HC";"HC, C2"}))+SUM(COUNTIFS(E24:AI24,{"HC1";"HC2"}))/2</f>
        <v>5</v>
      </c>
      <c r="AS24" s="29">
        <f t="shared" si="2"/>
        <v>13</v>
      </c>
      <c r="AT24" s="27">
        <f t="array" ref="AT24">SUM(COUNTIFS(E24:AI24,{"3";"C1, 3";"C2, 3";"3, C1";"3, C2";"3, S2";"S2, 3"}))</f>
        <v>8</v>
      </c>
      <c r="AU24" s="27">
        <f t="array" ref="AU24">SUM(COUNTIFS(E24:AI24,"HCKT"))</f>
        <v>0</v>
      </c>
      <c r="AV24" s="29">
        <f t="shared" si="3"/>
        <v>21</v>
      </c>
      <c r="AW24" s="29">
        <f t="array" ref="AW24">SUM(COUNTIFS(E24:AI24,{"L 1";"L 1, C1";"L 1, C2";"L C2, 1";"L C1, 1"}))</f>
        <v>0</v>
      </c>
      <c r="AX24" s="29">
        <f t="array" ref="AX24">SUM(COUNTIFS(E24:AI24,"L S1"))/2</f>
        <v>0</v>
      </c>
      <c r="AY24" s="29">
        <f t="array" ref="AY24">SUM(COUNTIFS(E24:AI24,{"L S2";"L S2, 2";"L S2, C1";"L S2, C2";"L 2, S2";"L C1, S2";"L C2, S2";"L 3, S2";"L S2, 3"}))/2</f>
        <v>0</v>
      </c>
      <c r="AZ24" s="29">
        <f t="shared" si="4"/>
        <v>0</v>
      </c>
      <c r="BA24" s="29">
        <f t="array" ref="BA24">SUM(COUNTIFS(E24:AI24,{"L 2";"L 2, S2";"L S2, 2"}))</f>
        <v>1</v>
      </c>
      <c r="BB24" s="29">
        <f t="array" ref="BB24">SUM(COUNTIFS(E24:AI24,{"L 1, C1";"L C1";"L C1, 3";"L C1, C2";"L S2, C1";"L C1, 1";"L 3, C1";"L C2, C1";"L C1, S2"}))/2</f>
        <v>0</v>
      </c>
      <c r="BC24" s="29">
        <f t="array" ref="BC24">SUM(COUNTIFS(E24:AI24,{"L 1, C2";"L C1, C2";"L C2";"L C2, 3";"L S2, C2";"L C2, 1";"L C2, C1";"L 3, C2";"L C2, S2";"L C2, HC";"L HC, C2"}))/2</f>
        <v>0.5</v>
      </c>
      <c r="BD24" s="29">
        <f t="shared" si="5"/>
        <v>1.5</v>
      </c>
      <c r="BE24" s="29">
        <f t="array" ref="BE24">SUM(COUNTIFS(E24:AI24,{"L GR";"L HC";"L KT";"L QA";"L C2, HC";"L HC, C2"}))+SUM(COUNTIFS(E24:AI24,{"L HC1";"L HC2"}))/2</f>
        <v>0</v>
      </c>
      <c r="BF24" s="29">
        <f t="shared" si="6"/>
        <v>1.5</v>
      </c>
      <c r="BG24" s="29">
        <f t="array" ref="BG24">SUM(COUNTIFS(E24:AI24,{"L 3";"L C1, 3";"L C2, 3";"L 3, C1";"L 3, C2";"L 3, S2";"L S2, 3"}))</f>
        <v>4</v>
      </c>
      <c r="BH24" s="29">
        <f t="array" ref="BH24">SUM(COUNTIFS(E24:AI24,"L HCKT"))</f>
        <v>0</v>
      </c>
      <c r="BI24" s="29">
        <f t="shared" si="7"/>
        <v>5.5</v>
      </c>
      <c r="BJ24" s="29"/>
      <c r="BK24" s="25"/>
    </row>
    <row r="25" spans="1:63" ht="15.75" customHeight="1">
      <c r="A25" s="23">
        <v>17</v>
      </c>
      <c r="B25" s="24" t="s">
        <v>188</v>
      </c>
      <c r="C25" s="23">
        <v>7263</v>
      </c>
      <c r="D25" s="25" t="s">
        <v>216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6"/>
      <c r="AJ25" s="27">
        <f t="array" ref="AJ25">SUM(COUNTIFS(E25:AI25,{"1";"1, C1";"1, C2";"C2, 1";"C1, 1"}))</f>
        <v>0</v>
      </c>
      <c r="AK25" s="28">
        <f t="array" ref="AK25">SUM(COUNTIFS(E25:AI25,"S1"))/2</f>
        <v>0</v>
      </c>
      <c r="AL25" s="27">
        <f t="array" ref="AL25">SUM(COUNTIFS(E25:AI25,{"S2";"S2, 2";"S2, C1";"S2, C2";"2, S2";"C1, S2";"C2, S2";"3, S2";"S2, 3"}))/2</f>
        <v>0</v>
      </c>
      <c r="AM25" s="29">
        <f t="shared" si="0"/>
        <v>0</v>
      </c>
      <c r="AN25" s="27">
        <f t="array" ref="AN25">SUM(COUNTIFS(E25:AI25,{"2";"2, S2";"S2, 2"}))</f>
        <v>0</v>
      </c>
      <c r="AO25" s="27">
        <f t="array" ref="AO25">SUM(COUNTIFS(E25:AI25,{"1, C1";"C1";"C1, 3";"C1, C2";"S2, C1";"C1, 1";"3, C1";"C2, C1";"C1, S2"}))/2</f>
        <v>0</v>
      </c>
      <c r="AP25" s="27">
        <f t="array" ref="AP25">SUM(COUNTIFS(E25:AI25,{"1, C2";"C1, C2";"C2";"C2, 3";"S2, C2";"C2, 1";"C2, C1";"3, C2";"C2, S2";"C2, HC";"HC, C2"}))/2</f>
        <v>0</v>
      </c>
      <c r="AQ25" s="29">
        <f t="shared" si="1"/>
        <v>0</v>
      </c>
      <c r="AR25" s="27">
        <f t="array" ref="AR25">SUM(COUNTIFS(E25:AI25,{"GR";"HC";"KT";"QA";"C2, HC";"HC, C2"}))+SUM(COUNTIFS(E25:AI25,{"HC1";"HC2"}))/2</f>
        <v>0</v>
      </c>
      <c r="AS25" s="29">
        <f t="shared" si="2"/>
        <v>0</v>
      </c>
      <c r="AT25" s="27">
        <f t="array" ref="AT25">SUM(COUNTIFS(E25:AI25,{"3";"C1, 3";"C2, 3";"3, C1";"3, C2";"3, S2";"S2, 3"}))</f>
        <v>0</v>
      </c>
      <c r="AU25" s="27">
        <f t="array" ref="AU25">SUM(COUNTIFS(E25:AI25,"HCKT"))</f>
        <v>0</v>
      </c>
      <c r="AV25" s="29">
        <f t="shared" si="3"/>
        <v>0</v>
      </c>
      <c r="AW25" s="29">
        <f t="array" ref="AW25">SUM(COUNTIFS(E25:AI25,{"L 1";"L 1, C1";"L 1, C2";"L C2, 1";"L C1, 1"}))</f>
        <v>0</v>
      </c>
      <c r="AX25" s="29">
        <f t="array" ref="AX25">SUM(COUNTIFS(E25:AI25,"L S1"))/2</f>
        <v>0</v>
      </c>
      <c r="AY25" s="29">
        <f t="array" ref="AY25">SUM(COUNTIFS(E25:AI25,{"L S2";"L S2, 2";"L S2, C1";"L S2, C2";"L 2, S2";"L C1, S2";"L C2, S2";"L 3, S2";"L S2, 3"}))/2</f>
        <v>0</v>
      </c>
      <c r="AZ25" s="29">
        <f t="shared" si="4"/>
        <v>0</v>
      </c>
      <c r="BA25" s="29">
        <f t="array" ref="BA25">SUM(COUNTIFS(E25:AI25,{"L 2";"L 2, S2";"L S2, 2"}))</f>
        <v>0</v>
      </c>
      <c r="BB25" s="29">
        <f t="array" ref="BB25">SUM(COUNTIFS(E25:AI25,{"L 1, C1";"L C1";"L C1, 3";"L C1, C2";"L S2, C1";"L C1, 1";"L 3, C1";"L C2, C1";"L C1, S2"}))/2</f>
        <v>0</v>
      </c>
      <c r="BC25" s="29">
        <f t="array" ref="BC25">SUM(COUNTIFS(E25:AI25,{"L 1, C2";"L C1, C2";"L C2";"L C2, 3";"L S2, C2";"L C2, 1";"L C2, C1";"L 3, C2";"L C2, S2";"L C2, HC";"L HC, C2"}))/2</f>
        <v>0</v>
      </c>
      <c r="BD25" s="29">
        <f t="shared" si="5"/>
        <v>0</v>
      </c>
      <c r="BE25" s="29">
        <f t="array" ref="BE25">SUM(COUNTIFS(E25:AI25,{"L GR";"L HC";"L KT";"L QA";"L C2, HC";"L HC, C2"}))+SUM(COUNTIFS(E25:AI25,{"L HC1";"L HC2"}))/2</f>
        <v>0</v>
      </c>
      <c r="BF25" s="29">
        <f t="shared" si="6"/>
        <v>0</v>
      </c>
      <c r="BG25" s="29">
        <f t="array" ref="BG25">SUM(COUNTIFS(E25:AI25,{"L 3";"L C1, 3";"L C2, 3";"L 3, C1";"L 3, C2";"L 3, S2";"L S2, 3"}))</f>
        <v>0</v>
      </c>
      <c r="BH25" s="29">
        <f t="array" ref="BH25">SUM(COUNTIFS(E25:AI25,"L HCKT"))</f>
        <v>0</v>
      </c>
      <c r="BI25" s="29">
        <f t="shared" si="7"/>
        <v>0</v>
      </c>
      <c r="BJ25" s="29" t="s">
        <v>217</v>
      </c>
      <c r="BK25" s="25"/>
    </row>
    <row r="26" spans="1:63" ht="15.75" customHeight="1">
      <c r="A26" s="23">
        <v>18</v>
      </c>
      <c r="B26" s="24" t="s">
        <v>188</v>
      </c>
      <c r="C26" s="23">
        <v>7265</v>
      </c>
      <c r="D26" s="25" t="s">
        <v>218</v>
      </c>
      <c r="E26" s="23"/>
      <c r="F26" s="23" t="s">
        <v>29</v>
      </c>
      <c r="G26" s="23" t="s">
        <v>29</v>
      </c>
      <c r="H26" s="23" t="s">
        <v>29</v>
      </c>
      <c r="I26" s="23" t="s">
        <v>193</v>
      </c>
      <c r="J26" s="23" t="s">
        <v>29</v>
      </c>
      <c r="K26" s="23" t="s">
        <v>32</v>
      </c>
      <c r="L26" s="23" t="s">
        <v>193</v>
      </c>
      <c r="M26" s="23" t="s">
        <v>27</v>
      </c>
      <c r="N26" s="23" t="s">
        <v>29</v>
      </c>
      <c r="O26" s="23">
        <v>3</v>
      </c>
      <c r="P26" s="23"/>
      <c r="Q26" s="23" t="s">
        <v>193</v>
      </c>
      <c r="R26" s="23">
        <v>2</v>
      </c>
      <c r="S26" s="23">
        <v>3</v>
      </c>
      <c r="T26" s="23" t="s">
        <v>34</v>
      </c>
      <c r="U26" s="23" t="s">
        <v>34</v>
      </c>
      <c r="V26" s="23"/>
      <c r="W26" s="23" t="s">
        <v>29</v>
      </c>
      <c r="X26" s="23" t="s">
        <v>29</v>
      </c>
      <c r="Y26" s="23" t="s">
        <v>29</v>
      </c>
      <c r="Z26" s="23" t="s">
        <v>29</v>
      </c>
      <c r="AA26" s="23">
        <v>3</v>
      </c>
      <c r="AB26" s="23">
        <v>3</v>
      </c>
      <c r="AC26" s="23"/>
      <c r="AD26" s="23" t="s">
        <v>29</v>
      </c>
      <c r="AE26" s="23" t="s">
        <v>198</v>
      </c>
      <c r="AF26" s="23" t="s">
        <v>198</v>
      </c>
      <c r="AG26" s="23" t="s">
        <v>208</v>
      </c>
      <c r="AH26" s="23" t="s">
        <v>208</v>
      </c>
      <c r="AI26" s="26"/>
      <c r="AJ26" s="27">
        <f t="array" ref="AJ26">SUM(COUNTIFS(E26:AI26,{"1";"1, C1";"1, C2";"C2, 1";"C1, 1"}))</f>
        <v>1</v>
      </c>
      <c r="AK26" s="28">
        <f t="array" ref="AK26">SUM(COUNTIFS(E26:AI26,"S1"))/2</f>
        <v>0</v>
      </c>
      <c r="AL26" s="27">
        <f t="array" ref="AL26">SUM(COUNTIFS(E26:AI26,{"S2";"S2, 2";"S2, C1";"S2, C2";"2, S2";"C1, S2";"C2, S2";"3, S2";"S2, 3"}))/2</f>
        <v>2</v>
      </c>
      <c r="AM26" s="29">
        <f t="shared" si="0"/>
        <v>3</v>
      </c>
      <c r="AN26" s="27">
        <f t="array" ref="AN26">SUM(COUNTIFS(E26:AI26,{"2";"2, S2";"S2, 2"}))</f>
        <v>2</v>
      </c>
      <c r="AO26" s="27">
        <f t="array" ref="AO26">SUM(COUNTIFS(E26:AI26,{"1, C1";"C1";"C1, 3";"C1, C2";"S2, C1";"C1, 1";"3, C1";"C2, C1";"C1, S2"}))/2</f>
        <v>2</v>
      </c>
      <c r="AP26" s="27">
        <f t="array" ref="AP26">SUM(COUNTIFS(E26:AI26,{"1, C2";"C1, C2";"C2";"C2, 3";"S2, C2";"C2, 1";"C2, C1";"3, C2";"C2, S2";"C2, HC";"HC, C2"}))/2</f>
        <v>1</v>
      </c>
      <c r="AQ26" s="29">
        <f t="shared" si="1"/>
        <v>5</v>
      </c>
      <c r="AR26" s="27">
        <f t="array" ref="AR26">SUM(COUNTIFS(E26:AI26,{"GR";"HC";"KT";"QA";"C2, HC";"HC, C2"}))+SUM(COUNTIFS(E26:AI26,{"HC1";"HC2"}))/2</f>
        <v>10</v>
      </c>
      <c r="AS26" s="29">
        <f t="shared" si="2"/>
        <v>18</v>
      </c>
      <c r="AT26" s="27">
        <f t="array" ref="AT26">SUM(COUNTIFS(E26:AI26,{"3";"C1, 3";"C2, 3";"3, C1";"3, C2";"3, S2";"S2, 3"}))</f>
        <v>6</v>
      </c>
      <c r="AU26" s="27">
        <f t="array" ref="AU26">SUM(COUNTIFS(E26:AI26,"HCKT"))</f>
        <v>0</v>
      </c>
      <c r="AV26" s="29">
        <f t="shared" si="3"/>
        <v>24</v>
      </c>
      <c r="AW26" s="29">
        <f t="array" ref="AW26">SUM(COUNTIFS(E26:AI26,{"L 1";"L 1, C1";"L 1, C2";"L C2, 1";"L C1, 1"}))</f>
        <v>0</v>
      </c>
      <c r="AX26" s="29">
        <f t="array" ref="AX26">SUM(COUNTIFS(E26:AI26,"L S1"))/2</f>
        <v>0</v>
      </c>
      <c r="AY26" s="29">
        <f t="array" ref="AY26">SUM(COUNTIFS(E26:AI26,{"L S2";"L S2, 2";"L S2, C1";"L S2, C2";"L 2, S2";"L C1, S2";"L C2, S2";"L 3, S2";"L S2, 3"}))/2</f>
        <v>0</v>
      </c>
      <c r="AZ26" s="29">
        <f t="shared" si="4"/>
        <v>0</v>
      </c>
      <c r="BA26" s="29">
        <f t="array" ref="BA26">SUM(COUNTIFS(E26:AI26,{"L 2";"L 2, S2";"L S2, 2"}))</f>
        <v>2</v>
      </c>
      <c r="BB26" s="29">
        <f t="array" ref="BB26">SUM(COUNTIFS(E26:AI26,{"L 1, C1";"L C1";"L C1, 3";"L C1, C2";"L S2, C1";"L C1, 1";"L 3, C1";"L C2, C1";"L C1, S2"}))/2</f>
        <v>0</v>
      </c>
      <c r="BC26" s="29">
        <f t="array" ref="BC26">SUM(COUNTIFS(E26:AI26,{"L 1, C2";"L C1, C2";"L C2";"L C2, 3";"L S2, C2";"L C2, 1";"L C2, C1";"L 3, C2";"L C2, S2";"L C2, HC";"L HC, C2"}))/2</f>
        <v>0</v>
      </c>
      <c r="BD26" s="29">
        <f t="shared" si="5"/>
        <v>2</v>
      </c>
      <c r="BE26" s="29">
        <f t="array" ref="BE26">SUM(COUNTIFS(E26:AI26,{"L GR";"L HC";"L KT";"L QA";"L C2, HC";"L HC, C2"}))+SUM(COUNTIFS(E26:AI26,{"L HC1";"L HC2"}))/2</f>
        <v>0</v>
      </c>
      <c r="BF26" s="29">
        <f t="shared" si="6"/>
        <v>2</v>
      </c>
      <c r="BG26" s="29">
        <f t="array" ref="BG26">SUM(COUNTIFS(E26:AI26,{"L 3";"L C1, 3";"L C2, 3";"L 3, C1";"L 3, C2";"L 3, S2";"L S2, 3"}))</f>
        <v>2</v>
      </c>
      <c r="BH26" s="29">
        <f t="array" ref="BH26">SUM(COUNTIFS(E26:AI26,"L HCKT"))</f>
        <v>0</v>
      </c>
      <c r="BI26" s="29">
        <f t="shared" si="7"/>
        <v>4</v>
      </c>
      <c r="BJ26" s="29"/>
      <c r="BK26" s="25"/>
    </row>
    <row r="27" spans="1:63" ht="15.75" customHeight="1">
      <c r="A27" s="23">
        <v>19</v>
      </c>
      <c r="B27" s="24" t="s">
        <v>188</v>
      </c>
      <c r="C27" s="23">
        <v>7266</v>
      </c>
      <c r="D27" s="25" t="s">
        <v>219</v>
      </c>
      <c r="E27" s="23" t="s">
        <v>196</v>
      </c>
      <c r="F27" s="23" t="s">
        <v>32</v>
      </c>
      <c r="G27" s="23" t="s">
        <v>32</v>
      </c>
      <c r="H27" s="23" t="s">
        <v>32</v>
      </c>
      <c r="I27" s="23">
        <v>2</v>
      </c>
      <c r="J27" s="23" t="s">
        <v>32</v>
      </c>
      <c r="K27" s="23" t="s">
        <v>32</v>
      </c>
      <c r="L27" s="23" t="s">
        <v>32</v>
      </c>
      <c r="M27" s="23" t="s">
        <v>32</v>
      </c>
      <c r="N27" s="23">
        <v>2</v>
      </c>
      <c r="O27" s="23">
        <v>2</v>
      </c>
      <c r="P27" s="23">
        <v>2</v>
      </c>
      <c r="Q27" s="23">
        <v>2</v>
      </c>
      <c r="R27" s="23" t="s">
        <v>32</v>
      </c>
      <c r="S27" s="23">
        <v>2</v>
      </c>
      <c r="T27" s="23" t="s">
        <v>193</v>
      </c>
      <c r="U27" s="23" t="s">
        <v>29</v>
      </c>
      <c r="V27" s="23" t="s">
        <v>32</v>
      </c>
      <c r="W27" s="23"/>
      <c r="X27" s="23">
        <v>2</v>
      </c>
      <c r="Y27" s="23" t="s">
        <v>26</v>
      </c>
      <c r="Z27" s="23">
        <v>2</v>
      </c>
      <c r="AA27" s="23">
        <v>2</v>
      </c>
      <c r="AB27" s="23" t="s">
        <v>32</v>
      </c>
      <c r="AC27" s="23">
        <v>2</v>
      </c>
      <c r="AD27" s="23">
        <v>2</v>
      </c>
      <c r="AE27" s="23" t="s">
        <v>196</v>
      </c>
      <c r="AF27" s="23" t="s">
        <v>198</v>
      </c>
      <c r="AG27" s="23" t="s">
        <v>198</v>
      </c>
      <c r="AH27" s="23"/>
      <c r="AI27" s="26"/>
      <c r="AJ27" s="27">
        <f t="array" ref="AJ27">SUM(COUNTIFS(E27:AI27,{"1";"1, C1";"1, C2";"C2, 1";"C1, 1"}))</f>
        <v>0</v>
      </c>
      <c r="AK27" s="28">
        <f t="array" ref="AK27">SUM(COUNTIFS(E27:AI27,"S1"))/2</f>
        <v>0</v>
      </c>
      <c r="AL27" s="27">
        <f t="array" ref="AL27">SUM(COUNTIFS(E27:AI27,{"S2";"S2, 2";"S2, C1";"S2, C2";"2, S2";"C1, S2";"C2, S2";"3, S2";"S2, 3"}))/2</f>
        <v>6</v>
      </c>
      <c r="AM27" s="29">
        <f t="shared" si="0"/>
        <v>6</v>
      </c>
      <c r="AN27" s="27">
        <f t="array" ref="AN27">SUM(COUNTIFS(E27:AI27,{"2";"2, S2";"S2, 2"}))</f>
        <v>21</v>
      </c>
      <c r="AO27" s="27">
        <f t="array" ref="AO27">SUM(COUNTIFS(E27:AI27,{"1, C1";"C1";"C1, 3";"C1, C2";"S2, C1";"C1, 1";"3, C1";"C2, C1";"C1, S2"}))/2</f>
        <v>0.5</v>
      </c>
      <c r="AP27" s="27">
        <f t="array" ref="AP27">SUM(COUNTIFS(E27:AI27,{"1, C2";"C1, C2";"C2";"C2, 3";"S2, C2";"C2, 1";"C2, C1";"3, C2";"C2, S2";"C2, HC";"HC, C2"}))/2</f>
        <v>0</v>
      </c>
      <c r="AQ27" s="29">
        <f t="shared" si="1"/>
        <v>21.5</v>
      </c>
      <c r="AR27" s="27">
        <f t="array" ref="AR27">SUM(COUNTIFS(E27:AI27,{"GR";"HC";"KT";"QA";"C2, HC";"HC, C2"}))+SUM(COUNTIFS(E27:AI27,{"HC1";"HC2"}))/2</f>
        <v>1</v>
      </c>
      <c r="AS27" s="29">
        <f t="shared" si="2"/>
        <v>28.5</v>
      </c>
      <c r="AT27" s="27">
        <f t="array" ref="AT27">SUM(COUNTIFS(E27:AI27,{"3";"C1, 3";"C2, 3";"3, C1";"3, C2";"3, S2";"S2, 3"}))</f>
        <v>0</v>
      </c>
      <c r="AU27" s="27">
        <f t="array" ref="AU27">SUM(COUNTIFS(E27:AI27,"HCKT"))</f>
        <v>0</v>
      </c>
      <c r="AV27" s="29">
        <f t="shared" si="3"/>
        <v>28.5</v>
      </c>
      <c r="AW27" s="29">
        <f t="array" ref="AW27">SUM(COUNTIFS(E27:AI27,{"L 1";"L 1, C1";"L 1, C2";"L C2, 1";"L C1, 1"}))</f>
        <v>0</v>
      </c>
      <c r="AX27" s="29">
        <f t="array" ref="AX27">SUM(COUNTIFS(E27:AI27,"L S1"))/2</f>
        <v>0</v>
      </c>
      <c r="AY27" s="29">
        <f t="array" ref="AY27">SUM(COUNTIFS(E27:AI27,{"L S2";"L S2, 2";"L S2, C1";"L S2, C2";"L 2, S2";"L C1, S2";"L C2, S2";"L 3, S2";"L S2, 3"}))/2</f>
        <v>0</v>
      </c>
      <c r="AZ27" s="29">
        <f t="shared" si="4"/>
        <v>0</v>
      </c>
      <c r="BA27" s="29">
        <f t="array" ref="BA27">SUM(COUNTIFS(E27:AI27,{"L 2";"L 2, S2";"L S2, 2"}))</f>
        <v>2</v>
      </c>
      <c r="BB27" s="29">
        <f t="array" ref="BB27">SUM(COUNTIFS(E27:AI27,{"L 1, C1";"L C1";"L C1, 3";"L C1, C2";"L S2, C1";"L C1, 1";"L 3, C1";"L C2, C1";"L C1, S2"}))/2</f>
        <v>0</v>
      </c>
      <c r="BC27" s="29">
        <f t="array" ref="BC27">SUM(COUNTIFS(E27:AI27,{"L 1, C2";"L C1, C2";"L C2";"L C2, 3";"L S2, C2";"L C2, 1";"L C2, C1";"L 3, C2";"L C2, S2";"L C2, HC";"L HC, C2"}))/2</f>
        <v>1</v>
      </c>
      <c r="BD27" s="29">
        <f t="shared" si="5"/>
        <v>3</v>
      </c>
      <c r="BE27" s="29">
        <f t="array" ref="BE27">SUM(COUNTIFS(E27:AI27,{"L GR";"L HC";"L KT";"L QA";"L C2, HC";"L HC, C2"}))+SUM(COUNTIFS(E27:AI27,{"L HC1";"L HC2"}))/2</f>
        <v>0</v>
      </c>
      <c r="BF27" s="29">
        <f t="shared" si="6"/>
        <v>3</v>
      </c>
      <c r="BG27" s="29">
        <f t="array" ref="BG27">SUM(COUNTIFS(E27:AI27,{"L 3";"L C1, 3";"L C2, 3";"L 3, C1";"L 3, C2";"L 3, S2";"L S2, 3"}))</f>
        <v>0</v>
      </c>
      <c r="BH27" s="29">
        <f t="array" ref="BH27">SUM(COUNTIFS(E27:AI27,"L HCKT"))</f>
        <v>0</v>
      </c>
      <c r="BI27" s="29">
        <f t="shared" si="7"/>
        <v>3</v>
      </c>
      <c r="BJ27" s="29"/>
      <c r="BK27" s="25"/>
    </row>
    <row r="28" spans="1:63" ht="15.75" customHeight="1">
      <c r="A28" s="23">
        <v>20</v>
      </c>
      <c r="B28" s="24" t="s">
        <v>188</v>
      </c>
      <c r="C28" s="23">
        <v>7270</v>
      </c>
      <c r="D28" s="25" t="s">
        <v>220</v>
      </c>
      <c r="E28" s="23"/>
      <c r="F28" s="23" t="s">
        <v>29</v>
      </c>
      <c r="G28" s="23" t="s">
        <v>29</v>
      </c>
      <c r="H28" s="23" t="s">
        <v>32</v>
      </c>
      <c r="I28" s="23">
        <v>2</v>
      </c>
      <c r="J28" s="23" t="s">
        <v>193</v>
      </c>
      <c r="K28" s="23" t="s">
        <v>29</v>
      </c>
      <c r="L28" s="23" t="s">
        <v>29</v>
      </c>
      <c r="M28" s="23" t="s">
        <v>29</v>
      </c>
      <c r="N28" s="23" t="s">
        <v>29</v>
      </c>
      <c r="O28" s="23" t="s">
        <v>193</v>
      </c>
      <c r="P28" s="23"/>
      <c r="Q28" s="23" t="s">
        <v>32</v>
      </c>
      <c r="R28" s="23" t="s">
        <v>32</v>
      </c>
      <c r="S28" s="23"/>
      <c r="T28" s="23" t="s">
        <v>32</v>
      </c>
      <c r="U28" s="23">
        <v>2</v>
      </c>
      <c r="V28" s="23" t="s">
        <v>193</v>
      </c>
      <c r="W28" s="23"/>
      <c r="X28" s="23" t="s">
        <v>32</v>
      </c>
      <c r="Y28" s="23" t="s">
        <v>32</v>
      </c>
      <c r="Z28" s="23"/>
      <c r="AA28" s="23" t="s">
        <v>26</v>
      </c>
      <c r="AB28" s="23" t="s">
        <v>193</v>
      </c>
      <c r="AC28" s="23">
        <v>2</v>
      </c>
      <c r="AD28" s="23"/>
      <c r="AE28" s="23" t="s">
        <v>202</v>
      </c>
      <c r="AF28" s="23" t="s">
        <v>198</v>
      </c>
      <c r="AG28" s="23"/>
      <c r="AH28" s="23"/>
      <c r="AI28" s="26"/>
      <c r="AJ28" s="27">
        <f t="array" ref="AJ28">SUM(COUNTIFS(E28:AI28,{"1";"1, C1";"1, C2";"C2, 1";"C1, 1"}))</f>
        <v>0</v>
      </c>
      <c r="AK28" s="28">
        <f t="array" ref="AK28">SUM(COUNTIFS(E28:AI28,"S1"))/2</f>
        <v>0</v>
      </c>
      <c r="AL28" s="27">
        <f t="array" ref="AL28">SUM(COUNTIFS(E28:AI28,{"S2";"S2, 2";"S2, C1";"S2, C2";"2, S2";"C1, S2";"C2, S2";"3, S2";"S2, 3"}))/2</f>
        <v>5.5</v>
      </c>
      <c r="AM28" s="29">
        <f t="shared" si="0"/>
        <v>5.5</v>
      </c>
      <c r="AN28" s="27">
        <f t="array" ref="AN28">SUM(COUNTIFS(E28:AI28,{"2";"2, S2";"S2, 2"}))</f>
        <v>9</v>
      </c>
      <c r="AO28" s="27">
        <f t="array" ref="AO28">SUM(COUNTIFS(E28:AI28,{"1, C1";"C1";"C1, 3";"C1, C2";"S2, C1";"C1, 1";"3, C1";"C2, C1";"C1, S2"}))/2</f>
        <v>2</v>
      </c>
      <c r="AP28" s="27">
        <f t="array" ref="AP28">SUM(COUNTIFS(E28:AI28,{"1, C2";"C1, C2";"C2";"C2, 3";"S2, C2";"C2, 1";"C2, C1";"3, C2";"C2, S2";"C2, HC";"HC, C2"}))/2</f>
        <v>0</v>
      </c>
      <c r="AQ28" s="29">
        <f t="shared" si="1"/>
        <v>11</v>
      </c>
      <c r="AR28" s="27">
        <f t="array" ref="AR28">SUM(COUNTIFS(E28:AI28,{"GR";"HC";"KT";"QA";"C2, HC";"HC, C2"}))+SUM(COUNTIFS(E28:AI28,{"HC1";"HC2"}))/2</f>
        <v>6</v>
      </c>
      <c r="AS28" s="29">
        <f t="shared" si="2"/>
        <v>22.5</v>
      </c>
      <c r="AT28" s="27">
        <f t="array" ref="AT28">SUM(COUNTIFS(E28:AI28,{"3";"C1, 3";"C2, 3";"3, C1";"3, C2";"3, S2";"S2, 3"}))</f>
        <v>0</v>
      </c>
      <c r="AU28" s="27">
        <f t="array" ref="AU28">SUM(COUNTIFS(E28:AI28,"HCKT"))</f>
        <v>0</v>
      </c>
      <c r="AV28" s="29">
        <f t="shared" si="3"/>
        <v>22.5</v>
      </c>
      <c r="AW28" s="29">
        <f t="array" ref="AW28">SUM(COUNTIFS(E28:AI28,{"L 1";"L 1, C1";"L 1, C2";"L C2, 1";"L C1, 1"}))</f>
        <v>0</v>
      </c>
      <c r="AX28" s="29">
        <f t="array" ref="AX28">SUM(COUNTIFS(E28:AI28,"L S1"))/2</f>
        <v>0</v>
      </c>
      <c r="AY28" s="29">
        <f t="array" ref="AY28">SUM(COUNTIFS(E28:AI28,{"L S2";"L S2, 2";"L S2, C1";"L S2, C2";"L 2, S2";"L C1, S2";"L C2, S2";"L 3, S2";"L S2, 3"}))/2</f>
        <v>0</v>
      </c>
      <c r="AZ28" s="29">
        <f t="shared" si="4"/>
        <v>0</v>
      </c>
      <c r="BA28" s="29">
        <f t="array" ref="BA28">SUM(COUNTIFS(E28:AI28,{"L 2";"L 2, S2";"L S2, 2"}))</f>
        <v>1</v>
      </c>
      <c r="BB28" s="29">
        <f t="array" ref="BB28">SUM(COUNTIFS(E28:AI28,{"L 1, C1";"L C1";"L C1, 3";"L C1, C2";"L S2, C1";"L C1, 1";"L 3, C1";"L C2, C1";"L C1, S2"}))/2</f>
        <v>0</v>
      </c>
      <c r="BC28" s="29">
        <f t="array" ref="BC28">SUM(COUNTIFS(E28:AI28,{"L 1, C2";"L C1, C2";"L C2";"L C2, 3";"L S2, C2";"L C2, 1";"L C2, C1";"L 3, C2";"L C2, S2";"L C2, HC";"L HC, C2"}))/2</f>
        <v>0</v>
      </c>
      <c r="BD28" s="29">
        <f t="shared" si="5"/>
        <v>1</v>
      </c>
      <c r="BE28" s="29">
        <f t="array" ref="BE28">SUM(COUNTIFS(E28:AI28,{"L GR";"L HC";"L KT";"L QA";"L C2, HC";"L HC, C2"}))+SUM(COUNTIFS(E28:AI28,{"L HC1";"L HC2"}))/2</f>
        <v>1</v>
      </c>
      <c r="BF28" s="29">
        <f t="shared" si="6"/>
        <v>2</v>
      </c>
      <c r="BG28" s="29">
        <f t="array" ref="BG28">SUM(COUNTIFS(E28:AI28,{"L 3";"L C1, 3";"L C2, 3";"L 3, C1";"L 3, C2";"L 3, S2";"L S2, 3"}))</f>
        <v>0</v>
      </c>
      <c r="BH28" s="29">
        <f t="array" ref="BH28">SUM(COUNTIFS(E28:AI28,"L HCKT"))</f>
        <v>0</v>
      </c>
      <c r="BI28" s="29">
        <f t="shared" si="7"/>
        <v>2</v>
      </c>
      <c r="BJ28" s="29"/>
      <c r="BK28" s="25"/>
    </row>
    <row r="29" spans="1:63" ht="15.75" customHeight="1">
      <c r="A29" s="23">
        <v>21</v>
      </c>
      <c r="B29" s="24" t="s">
        <v>188</v>
      </c>
      <c r="C29" s="23">
        <v>7272</v>
      </c>
      <c r="D29" s="25" t="s">
        <v>221</v>
      </c>
      <c r="E29" s="23"/>
      <c r="F29" s="23" t="s">
        <v>32</v>
      </c>
      <c r="G29" s="23" t="s">
        <v>32</v>
      </c>
      <c r="H29" s="30" t="s">
        <v>32</v>
      </c>
      <c r="I29" s="23" t="s">
        <v>26</v>
      </c>
      <c r="J29" s="23" t="s">
        <v>29</v>
      </c>
      <c r="K29" s="23" t="s">
        <v>29</v>
      </c>
      <c r="L29" s="23" t="s">
        <v>29</v>
      </c>
      <c r="M29" s="23" t="s">
        <v>29</v>
      </c>
      <c r="N29" s="23" t="s">
        <v>32</v>
      </c>
      <c r="O29" s="23" t="s">
        <v>32</v>
      </c>
      <c r="P29" s="23" t="s">
        <v>193</v>
      </c>
      <c r="Q29" s="23" t="s">
        <v>29</v>
      </c>
      <c r="R29" s="23">
        <v>2</v>
      </c>
      <c r="S29" s="23" t="s">
        <v>32</v>
      </c>
      <c r="T29" s="23"/>
      <c r="U29" s="23" t="s">
        <v>29</v>
      </c>
      <c r="V29" s="23">
        <v>2</v>
      </c>
      <c r="W29" s="23"/>
      <c r="X29" s="23" t="s">
        <v>29</v>
      </c>
      <c r="Y29" s="23">
        <v>2</v>
      </c>
      <c r="Z29" s="23" t="s">
        <v>32</v>
      </c>
      <c r="AA29" s="23">
        <v>2</v>
      </c>
      <c r="AB29" s="23" t="s">
        <v>32</v>
      </c>
      <c r="AC29" s="23"/>
      <c r="AD29" s="23" t="s">
        <v>29</v>
      </c>
      <c r="AE29" s="23" t="s">
        <v>198</v>
      </c>
      <c r="AF29" s="23" t="s">
        <v>198</v>
      </c>
      <c r="AG29" s="23" t="s">
        <v>198</v>
      </c>
      <c r="AH29" s="23" t="s">
        <v>197</v>
      </c>
      <c r="AI29" s="26"/>
      <c r="AJ29" s="27">
        <f t="array" ref="AJ29">SUM(COUNTIFS(E29:AI29,{"1";"1, C1";"1, C2";"C2, 1";"C1, 1"}))</f>
        <v>0</v>
      </c>
      <c r="AK29" s="28">
        <f t="array" ref="AK29">SUM(COUNTIFS(E29:AI29,"S1"))/2</f>
        <v>0</v>
      </c>
      <c r="AL29" s="27">
        <f t="array" ref="AL29">SUM(COUNTIFS(E29:AI29,{"S2";"S2, 2";"S2, C1";"S2, C2";"2, S2";"C1, S2";"C2, S2";"3, S2";"S2, 3"}))/2</f>
        <v>5</v>
      </c>
      <c r="AM29" s="29">
        <f t="shared" si="0"/>
        <v>5</v>
      </c>
      <c r="AN29" s="27">
        <f t="array" ref="AN29">SUM(COUNTIFS(E29:AI29,{"2";"2, S2";"S2, 2"}))</f>
        <v>12</v>
      </c>
      <c r="AO29" s="27">
        <f t="array" ref="AO29">SUM(COUNTIFS(E29:AI29,{"1, C1";"C1";"C1, 3";"C1, C2";"S2, C1";"C1, 1";"3, C1";"C2, C1";"C1, S2"}))/2</f>
        <v>0.5</v>
      </c>
      <c r="AP29" s="27">
        <f t="array" ref="AP29">SUM(COUNTIFS(E29:AI29,{"1, C2";"C1, C2";"C2";"C2, 3";"S2, C2";"C2, 1";"C2, C1";"3, C2";"C2, S2";"C2, HC";"HC, C2"}))/2</f>
        <v>0</v>
      </c>
      <c r="AQ29" s="29">
        <f t="shared" si="1"/>
        <v>12.5</v>
      </c>
      <c r="AR29" s="27">
        <f t="array" ref="AR29">SUM(COUNTIFS(E29:AI29,{"GR";"HC";"KT";"QA";"C2, HC";"HC, C2"}))+SUM(COUNTIFS(E29:AI29,{"HC1";"HC2"}))/2</f>
        <v>8</v>
      </c>
      <c r="AS29" s="29">
        <f t="shared" si="2"/>
        <v>25.5</v>
      </c>
      <c r="AT29" s="27">
        <f t="array" ref="AT29">SUM(COUNTIFS(E29:AI29,{"3";"C1, 3";"C2, 3";"3, C1";"3, C2";"3, S2";"S2, 3"}))</f>
        <v>0</v>
      </c>
      <c r="AU29" s="27">
        <f t="array" ref="AU29">SUM(COUNTIFS(E29:AI29,"HCKT"))</f>
        <v>0</v>
      </c>
      <c r="AV29" s="29">
        <f t="shared" si="3"/>
        <v>25.5</v>
      </c>
      <c r="AW29" s="29">
        <f t="array" ref="AW29">SUM(COUNTIFS(E29:AI29,{"L 1";"L 1, C1";"L 1, C2";"L C2, 1";"L C1, 1"}))</f>
        <v>0</v>
      </c>
      <c r="AX29" s="29">
        <f t="array" ref="AX29">SUM(COUNTIFS(E29:AI29,"L S1"))/2</f>
        <v>0</v>
      </c>
      <c r="AY29" s="29">
        <f t="array" ref="AY29">SUM(COUNTIFS(E29:AI29,{"L S2";"L S2, 2";"L S2, C1";"L S2, C2";"L 2, S2";"L C1, S2";"L C2, S2";"L 3, S2";"L S2, 3"}))/2</f>
        <v>0.5</v>
      </c>
      <c r="AZ29" s="29">
        <f t="shared" si="4"/>
        <v>0.5</v>
      </c>
      <c r="BA29" s="29">
        <f t="array" ref="BA29">SUM(COUNTIFS(E29:AI29,{"L 2";"L 2, S2";"L S2, 2"}))</f>
        <v>3</v>
      </c>
      <c r="BB29" s="29">
        <f t="array" ref="BB29">SUM(COUNTIFS(E29:AI29,{"L 1, C1";"L C1";"L C1, 3";"L C1, C2";"L S2, C1";"L C1, 1";"L 3, C1";"L C2, C1";"L C1, S2"}))/2</f>
        <v>0</v>
      </c>
      <c r="BC29" s="29">
        <f t="array" ref="BC29">SUM(COUNTIFS(E29:AI29,{"L 1, C2";"L C1, C2";"L C2";"L C2, 3";"L S2, C2";"L C2, 1";"L C2, C1";"L 3, C2";"L C2, S2";"L C2, HC";"L HC, C2"}))/2</f>
        <v>0</v>
      </c>
      <c r="BD29" s="29">
        <f t="shared" si="5"/>
        <v>3</v>
      </c>
      <c r="BE29" s="29">
        <f t="array" ref="BE29">SUM(COUNTIFS(E29:AI29,{"L GR";"L HC";"L KT";"L QA";"L C2, HC";"L HC, C2"}))+SUM(COUNTIFS(E29:AI29,{"L HC1";"L HC2"}))/2</f>
        <v>0</v>
      </c>
      <c r="BF29" s="29">
        <f t="shared" si="6"/>
        <v>3.5</v>
      </c>
      <c r="BG29" s="29">
        <f t="array" ref="BG29">SUM(COUNTIFS(E29:AI29,{"L 3";"L C1, 3";"L C2, 3";"L 3, C1";"L 3, C2";"L 3, S2";"L S2, 3"}))</f>
        <v>0</v>
      </c>
      <c r="BH29" s="29">
        <f t="array" ref="BH29">SUM(COUNTIFS(E29:AI29,"L HCKT"))</f>
        <v>0</v>
      </c>
      <c r="BI29" s="29">
        <f t="shared" si="7"/>
        <v>3.5</v>
      </c>
      <c r="BJ29" s="29"/>
      <c r="BK29" s="25"/>
    </row>
    <row r="30" spans="1:63" ht="15.75" customHeight="1">
      <c r="A30" s="23">
        <v>22</v>
      </c>
      <c r="B30" s="24" t="s">
        <v>188</v>
      </c>
      <c r="C30" s="23">
        <v>7274</v>
      </c>
      <c r="D30" s="25" t="s">
        <v>222</v>
      </c>
      <c r="E30" s="23"/>
      <c r="F30" s="23" t="s">
        <v>29</v>
      </c>
      <c r="G30" s="23" t="s">
        <v>32</v>
      </c>
      <c r="H30" s="23" t="s">
        <v>32</v>
      </c>
      <c r="I30" s="30" t="s">
        <v>32</v>
      </c>
      <c r="J30" s="23" t="s">
        <v>32</v>
      </c>
      <c r="K30" s="23" t="s">
        <v>32</v>
      </c>
      <c r="L30" s="23" t="s">
        <v>32</v>
      </c>
      <c r="M30" s="23" t="s">
        <v>32</v>
      </c>
      <c r="N30" s="23" t="s">
        <v>32</v>
      </c>
      <c r="O30" s="23" t="s">
        <v>193</v>
      </c>
      <c r="P30" s="23" t="s">
        <v>29</v>
      </c>
      <c r="Q30" s="23" t="s">
        <v>29</v>
      </c>
      <c r="R30" s="23" t="s">
        <v>193</v>
      </c>
      <c r="S30" s="23" t="s">
        <v>193</v>
      </c>
      <c r="T30" s="23"/>
      <c r="U30" s="23"/>
      <c r="V30" s="23"/>
      <c r="W30" s="23">
        <v>2</v>
      </c>
      <c r="X30" s="23" t="s">
        <v>32</v>
      </c>
      <c r="Y30" s="23" t="s">
        <v>32</v>
      </c>
      <c r="Z30" s="23" t="s">
        <v>32</v>
      </c>
      <c r="AA30" s="23">
        <v>2</v>
      </c>
      <c r="AB30" s="23">
        <v>2</v>
      </c>
      <c r="AC30" s="23" t="s">
        <v>32</v>
      </c>
      <c r="AD30" s="23">
        <v>2</v>
      </c>
      <c r="AE30" s="23" t="s">
        <v>198</v>
      </c>
      <c r="AF30" s="23" t="s">
        <v>199</v>
      </c>
      <c r="AG30" s="23"/>
      <c r="AH30" s="23"/>
      <c r="AI30" s="26"/>
      <c r="AJ30" s="27">
        <f t="array" ref="AJ30">SUM(COUNTIFS(E30:AI30,{"1";"1, C1";"1, C2";"C2, 1";"C1, 1"}))</f>
        <v>0</v>
      </c>
      <c r="AK30" s="28">
        <f t="array" ref="AK30">SUM(COUNTIFS(E30:AI30,"S1"))/2</f>
        <v>0</v>
      </c>
      <c r="AL30" s="27">
        <f t="array" ref="AL30">SUM(COUNTIFS(E30:AI30,{"S2";"S2, 2";"S2, C1";"S2, C2";"2, S2";"C1, S2";"C2, S2";"3, S2";"S2, 3"}))/2</f>
        <v>7.5</v>
      </c>
      <c r="AM30" s="29">
        <f t="shared" si="0"/>
        <v>7.5</v>
      </c>
      <c r="AN30" s="27">
        <f t="array" ref="AN30">SUM(COUNTIFS(E30:AI30,{"2";"2, S2";"S2, 2"}))</f>
        <v>16</v>
      </c>
      <c r="AO30" s="27">
        <f t="array" ref="AO30">SUM(COUNTIFS(E30:AI30,{"1, C1";"C1";"C1, 3";"C1, C2";"S2, C1";"C1, 1";"3, C1";"C2, C1";"C1, S2"}))/2</f>
        <v>1.5</v>
      </c>
      <c r="AP30" s="27">
        <f t="array" ref="AP30">SUM(COUNTIFS(E30:AI30,{"1, C2";"C1, C2";"C2";"C2, 3";"S2, C2";"C2, 1";"C2, C1";"3, C2";"C2, S2";"C2, HC";"HC, C2"}))/2</f>
        <v>0</v>
      </c>
      <c r="AQ30" s="29">
        <f t="shared" si="1"/>
        <v>17.5</v>
      </c>
      <c r="AR30" s="27">
        <f t="array" ref="AR30">SUM(COUNTIFS(E30:AI30,{"GR";"HC";"KT";"QA";"C2, HC";"HC, C2"}))+SUM(COUNTIFS(E30:AI30,{"HC1";"HC2"}))/2</f>
        <v>3</v>
      </c>
      <c r="AS30" s="29">
        <f t="shared" si="2"/>
        <v>28</v>
      </c>
      <c r="AT30" s="27">
        <f t="array" ref="AT30">SUM(COUNTIFS(E30:AI30,{"3";"C1, 3";"C2, 3";"3, C1";"3, C2";"3, S2";"S2, 3"}))</f>
        <v>0</v>
      </c>
      <c r="AU30" s="27">
        <f t="array" ref="AU30">SUM(COUNTIFS(E30:AI30,"HCKT"))</f>
        <v>0</v>
      </c>
      <c r="AV30" s="29">
        <f t="shared" si="3"/>
        <v>28</v>
      </c>
      <c r="AW30" s="29">
        <f t="array" ref="AW30">SUM(COUNTIFS(E30:AI30,{"L 1";"L 1, C1";"L 1, C2";"L C2, 1";"L C1, 1"}))</f>
        <v>0</v>
      </c>
      <c r="AX30" s="29">
        <f t="array" ref="AX30">SUM(COUNTIFS(E30:AI30,"L S1"))/2</f>
        <v>0</v>
      </c>
      <c r="AY30" s="29">
        <f t="array" ref="AY30">SUM(COUNTIFS(E30:AI30,{"L S2";"L S2, 2";"L S2, C1";"L S2, C2";"L 2, S2";"L C1, S2";"L C2, S2";"L 3, S2";"L S2, 3"}))/2</f>
        <v>0.5</v>
      </c>
      <c r="AZ30" s="29">
        <f t="shared" si="4"/>
        <v>0.5</v>
      </c>
      <c r="BA30" s="29">
        <f t="array" ref="BA30">SUM(COUNTIFS(E30:AI30,{"L 2";"L 2, S2";"L S2, 2"}))</f>
        <v>2</v>
      </c>
      <c r="BB30" s="29">
        <f t="array" ref="BB30">SUM(COUNTIFS(E30:AI30,{"L 1, C1";"L C1";"L C1, 3";"L C1, C2";"L S2, C1";"L C1, 1";"L 3, C1";"L C2, C1";"L C1, S2"}))/2</f>
        <v>0</v>
      </c>
      <c r="BC30" s="29">
        <f t="array" ref="BC30">SUM(COUNTIFS(E30:AI30,{"L 1, C2";"L C1, C2";"L C2";"L C2, 3";"L S2, C2";"L C2, 1";"L C2, C1";"L 3, C2";"L C2, S2";"L C2, HC";"L HC, C2"}))/2</f>
        <v>0</v>
      </c>
      <c r="BD30" s="29">
        <f t="shared" si="5"/>
        <v>2</v>
      </c>
      <c r="BE30" s="29">
        <f t="array" ref="BE30">SUM(COUNTIFS(E30:AI30,{"L GR";"L HC";"L KT";"L QA";"L C2, HC";"L HC, C2"}))+SUM(COUNTIFS(E30:AI30,{"L HC1";"L HC2"}))/2</f>
        <v>0</v>
      </c>
      <c r="BF30" s="29">
        <f t="shared" si="6"/>
        <v>2.5</v>
      </c>
      <c r="BG30" s="29">
        <f t="array" ref="BG30">SUM(COUNTIFS(E30:AI30,{"L 3";"L C1, 3";"L C2, 3";"L 3, C1";"L 3, C2";"L 3, S2";"L S2, 3"}))</f>
        <v>0</v>
      </c>
      <c r="BH30" s="29">
        <f t="array" ref="BH30">SUM(COUNTIFS(E30:AI30,"L HCKT"))</f>
        <v>0</v>
      </c>
      <c r="BI30" s="29">
        <f t="shared" si="7"/>
        <v>2.5</v>
      </c>
      <c r="BJ30" s="29"/>
      <c r="BK30" s="25"/>
    </row>
    <row r="31" spans="1:63" ht="15.75" customHeight="1">
      <c r="A31" s="23">
        <v>23</v>
      </c>
      <c r="B31" s="24" t="s">
        <v>188</v>
      </c>
      <c r="C31" s="23">
        <v>7275</v>
      </c>
      <c r="D31" s="25" t="s">
        <v>223</v>
      </c>
      <c r="E31" s="23"/>
      <c r="F31" s="23" t="s">
        <v>32</v>
      </c>
      <c r="G31" s="23" t="s">
        <v>193</v>
      </c>
      <c r="H31" s="23"/>
      <c r="I31" s="23"/>
      <c r="J31" s="23" t="s">
        <v>32</v>
      </c>
      <c r="K31" s="23" t="s">
        <v>193</v>
      </c>
      <c r="L31" s="23" t="s">
        <v>29</v>
      </c>
      <c r="M31" s="23" t="s">
        <v>29</v>
      </c>
      <c r="N31" s="23">
        <v>2</v>
      </c>
      <c r="O31" s="23">
        <v>2</v>
      </c>
      <c r="P31" s="23"/>
      <c r="Q31" s="23">
        <v>2</v>
      </c>
      <c r="R31" s="23" t="s">
        <v>193</v>
      </c>
      <c r="S31" s="23" t="s">
        <v>29</v>
      </c>
      <c r="T31" s="23">
        <v>1</v>
      </c>
      <c r="U31" s="23" t="s">
        <v>32</v>
      </c>
      <c r="V31" s="23"/>
      <c r="W31" s="23">
        <v>2</v>
      </c>
      <c r="X31" s="23" t="s">
        <v>32</v>
      </c>
      <c r="Y31" s="23"/>
      <c r="Z31" s="23">
        <v>2</v>
      </c>
      <c r="AA31" s="23" t="s">
        <v>32</v>
      </c>
      <c r="AB31" s="23" t="s">
        <v>193</v>
      </c>
      <c r="AC31" s="23" t="s">
        <v>32</v>
      </c>
      <c r="AD31" s="23" t="s">
        <v>32</v>
      </c>
      <c r="AE31" s="23"/>
      <c r="AF31" s="23"/>
      <c r="AG31" s="23"/>
      <c r="AH31" s="23"/>
      <c r="AI31" s="26"/>
      <c r="AJ31" s="27">
        <f t="array" ref="AJ31">SUM(COUNTIFS(E31:AI31,{"1";"1, C1";"1, C2";"C2, 1";"C1, 1"}))</f>
        <v>1</v>
      </c>
      <c r="AK31" s="28">
        <f t="array" ref="AK31">SUM(COUNTIFS(E31:AI31,"S1"))/2</f>
        <v>0</v>
      </c>
      <c r="AL31" s="27">
        <f t="array" ref="AL31">SUM(COUNTIFS(E31:AI31,{"S2";"S2, 2";"S2, C1";"S2, C2";"2, S2";"C1, S2";"C2, S2";"3, S2";"S2, 3"}))/2</f>
        <v>5.5</v>
      </c>
      <c r="AM31" s="29">
        <f t="shared" si="0"/>
        <v>6.5</v>
      </c>
      <c r="AN31" s="27">
        <f t="array" ref="AN31">SUM(COUNTIFS(E31:AI31,{"2";"2, S2";"S2, 2"}))</f>
        <v>12</v>
      </c>
      <c r="AO31" s="27">
        <f t="array" ref="AO31">SUM(COUNTIFS(E31:AI31,{"1, C1";"C1";"C1, 3";"C1, C2";"S2, C1";"C1, 1";"3, C1";"C2, C1";"C1, S2"}))/2</f>
        <v>2</v>
      </c>
      <c r="AP31" s="27">
        <f t="array" ref="AP31">SUM(COUNTIFS(E31:AI31,{"1, C2";"C1, C2";"C2";"C2, 3";"S2, C2";"C2, 1";"C2, C1";"3, C2";"C2, S2";"C2, HC";"HC, C2"}))/2</f>
        <v>0</v>
      </c>
      <c r="AQ31" s="29">
        <f t="shared" si="1"/>
        <v>14</v>
      </c>
      <c r="AR31" s="27">
        <f t="array" ref="AR31">SUM(COUNTIFS(E31:AI31,{"GR";"HC";"KT";"QA";"C2, HC";"HC, C2"}))+SUM(COUNTIFS(E31:AI31,{"HC1";"HC2"}))/2</f>
        <v>3</v>
      </c>
      <c r="AS31" s="29">
        <f t="shared" si="2"/>
        <v>23.5</v>
      </c>
      <c r="AT31" s="27">
        <f t="array" ref="AT31">SUM(COUNTIFS(E31:AI31,{"3";"C1, 3";"C2, 3";"3, C1";"3, C2";"3, S2";"S2, 3"}))</f>
        <v>0</v>
      </c>
      <c r="AU31" s="27">
        <f t="array" ref="AU31">SUM(COUNTIFS(E31:AI31,"HCKT"))</f>
        <v>0</v>
      </c>
      <c r="AV31" s="29">
        <f t="shared" si="3"/>
        <v>23.5</v>
      </c>
      <c r="AW31" s="29">
        <f t="array" ref="AW31">SUM(COUNTIFS(E31:AI31,{"L 1";"L 1, C1";"L 1, C2";"L C2, 1";"L C1, 1"}))</f>
        <v>0</v>
      </c>
      <c r="AX31" s="29">
        <f t="array" ref="AX31">SUM(COUNTIFS(E31:AI31,"L S1"))/2</f>
        <v>0</v>
      </c>
      <c r="AY31" s="29">
        <f t="array" ref="AY31">SUM(COUNTIFS(E31:AI31,{"L S2";"L S2, 2";"L S2, C1";"L S2, C2";"L 2, S2";"L C1, S2";"L C2, S2";"L 3, S2";"L S2, 3"}))/2</f>
        <v>0</v>
      </c>
      <c r="AZ31" s="29">
        <f t="shared" si="4"/>
        <v>0</v>
      </c>
      <c r="BA31" s="29">
        <f t="array" ref="BA31">SUM(COUNTIFS(E31:AI31,{"L 2";"L 2, S2";"L S2, 2"}))</f>
        <v>0</v>
      </c>
      <c r="BB31" s="29">
        <f t="array" ref="BB31">SUM(COUNTIFS(E31:AI31,{"L 1, C1";"L C1";"L C1, 3";"L C1, C2";"L S2, C1";"L C1, 1";"L 3, C1";"L C2, C1";"L C1, S2"}))/2</f>
        <v>0</v>
      </c>
      <c r="BC31" s="29">
        <f t="array" ref="BC31">SUM(COUNTIFS(E31:AI31,{"L 1, C2";"L C1, C2";"L C2";"L C2, 3";"L S2, C2";"L C2, 1";"L C2, C1";"L 3, C2";"L C2, S2";"L C2, HC";"L HC, C2"}))/2</f>
        <v>0</v>
      </c>
      <c r="BD31" s="29">
        <f t="shared" si="5"/>
        <v>0</v>
      </c>
      <c r="BE31" s="29">
        <f t="array" ref="BE31">SUM(COUNTIFS(E31:AI31,{"L GR";"L HC";"L KT";"L QA";"L C2, HC";"L HC, C2"}))+SUM(COUNTIFS(E31:AI31,{"L HC1";"L HC2"}))/2</f>
        <v>0</v>
      </c>
      <c r="BF31" s="29">
        <f t="shared" si="6"/>
        <v>0</v>
      </c>
      <c r="BG31" s="29">
        <f t="array" ref="BG31">SUM(COUNTIFS(E31:AI31,{"L 3";"L C1, 3";"L C2, 3";"L 3, C1";"L 3, C2";"L 3, S2";"L S2, 3"}))</f>
        <v>0</v>
      </c>
      <c r="BH31" s="29">
        <f t="array" ref="BH31">SUM(COUNTIFS(E31:AI31,"L HCKT"))</f>
        <v>0</v>
      </c>
      <c r="BI31" s="29">
        <f t="shared" si="7"/>
        <v>0</v>
      </c>
      <c r="BJ31" s="29"/>
      <c r="BK31" s="25"/>
    </row>
    <row r="32" spans="1:63" ht="15.75" customHeight="1">
      <c r="A32" s="23">
        <v>24</v>
      </c>
      <c r="B32" s="24" t="s">
        <v>188</v>
      </c>
      <c r="C32" s="23">
        <v>7276</v>
      </c>
      <c r="D32" s="25" t="s">
        <v>224</v>
      </c>
      <c r="E32" s="23" t="s">
        <v>198</v>
      </c>
      <c r="F32" s="23" t="s">
        <v>193</v>
      </c>
      <c r="G32" s="23" t="s">
        <v>29</v>
      </c>
      <c r="H32" s="23" t="s">
        <v>29</v>
      </c>
      <c r="I32" s="23"/>
      <c r="J32" s="23" t="s">
        <v>29</v>
      </c>
      <c r="K32" s="23" t="s">
        <v>29</v>
      </c>
      <c r="L32" s="23" t="s">
        <v>29</v>
      </c>
      <c r="M32" s="23" t="s">
        <v>29</v>
      </c>
      <c r="N32" s="23" t="s">
        <v>29</v>
      </c>
      <c r="O32" s="23"/>
      <c r="P32" s="23">
        <v>2</v>
      </c>
      <c r="Q32" s="23" t="s">
        <v>193</v>
      </c>
      <c r="R32" s="23" t="s">
        <v>29</v>
      </c>
      <c r="S32" s="23" t="s">
        <v>26</v>
      </c>
      <c r="T32" s="23" t="s">
        <v>29</v>
      </c>
      <c r="U32" s="23">
        <v>2</v>
      </c>
      <c r="V32" s="23" t="s">
        <v>35</v>
      </c>
      <c r="W32" s="23" t="s">
        <v>193</v>
      </c>
      <c r="X32" s="23" t="s">
        <v>29</v>
      </c>
      <c r="Y32" s="23" t="s">
        <v>29</v>
      </c>
      <c r="Z32" s="23" t="s">
        <v>29</v>
      </c>
      <c r="AA32" s="23" t="s">
        <v>32</v>
      </c>
      <c r="AB32" s="23">
        <v>2</v>
      </c>
      <c r="AC32" s="23">
        <v>2</v>
      </c>
      <c r="AD32" s="23" t="s">
        <v>32</v>
      </c>
      <c r="AE32" s="23" t="s">
        <v>197</v>
      </c>
      <c r="AF32" s="23" t="s">
        <v>198</v>
      </c>
      <c r="AG32" s="23"/>
      <c r="AH32" s="23"/>
      <c r="AI32" s="26"/>
      <c r="AJ32" s="27">
        <f t="array" ref="AJ32">SUM(COUNTIFS(E32:AI32,{"1";"1, C1";"1, C2";"C2, 1";"C1, 1"}))</f>
        <v>0</v>
      </c>
      <c r="AK32" s="28">
        <f t="array" ref="AK32">SUM(COUNTIFS(E32:AI32,"S1"))/2</f>
        <v>0</v>
      </c>
      <c r="AL32" s="27">
        <f t="array" ref="AL32">SUM(COUNTIFS(E32:AI32,{"S2";"S2, 2";"S2, C1";"S2, C2";"2, S2";"C1, S2";"C2, S2";"3, S2";"S2, 3"}))/2</f>
        <v>3</v>
      </c>
      <c r="AM32" s="29">
        <f t="shared" si="0"/>
        <v>3</v>
      </c>
      <c r="AN32" s="27">
        <f t="array" ref="AN32">SUM(COUNTIFS(E32:AI32,{"2";"2, S2";"S2, 2"}))</f>
        <v>6</v>
      </c>
      <c r="AO32" s="27">
        <f t="array" ref="AO32">SUM(COUNTIFS(E32:AI32,{"1, C1";"C1";"C1, 3";"C1, C2";"S2, C1";"C1, 1";"3, C1";"C2, C1";"C1, S2"}))/2</f>
        <v>1.5</v>
      </c>
      <c r="AP32" s="27">
        <f t="array" ref="AP32">SUM(COUNTIFS(E32:AI32,{"1, C2";"C1, C2";"C2";"C2, 3";"S2, C2";"C2, 1";"C2, C1";"3, C2";"C2, S2";"C2, HC";"HC, C2"}))/2</f>
        <v>0.5</v>
      </c>
      <c r="AQ32" s="29">
        <f t="shared" si="1"/>
        <v>8</v>
      </c>
      <c r="AR32" s="27">
        <f t="array" ref="AR32">SUM(COUNTIFS(E32:AI32,{"GR";"HC";"KT";"QA";"C2, HC";"HC, C2"}))+SUM(COUNTIFS(E32:AI32,{"HC1";"HC2"}))/2</f>
        <v>12</v>
      </c>
      <c r="AS32" s="29">
        <f t="shared" si="2"/>
        <v>23</v>
      </c>
      <c r="AT32" s="27">
        <f t="array" ref="AT32">SUM(COUNTIFS(E32:AI32,{"3";"C1, 3";"C2, 3";"3, C1";"3, C2";"3, S2";"S2, 3"}))</f>
        <v>0</v>
      </c>
      <c r="AU32" s="27">
        <f t="array" ref="AU32">SUM(COUNTIFS(E32:AI32,"HCKT"))</f>
        <v>0</v>
      </c>
      <c r="AV32" s="29">
        <f t="shared" si="3"/>
        <v>23</v>
      </c>
      <c r="AW32" s="29">
        <f t="array" ref="AW32">SUM(COUNTIFS(E32:AI32,{"L 1";"L 1, C1";"L 1, C2";"L C2, 1";"L C1, 1"}))</f>
        <v>0</v>
      </c>
      <c r="AX32" s="29">
        <f t="array" ref="AX32">SUM(COUNTIFS(E32:AI32,"L S1"))/2</f>
        <v>0</v>
      </c>
      <c r="AY32" s="29">
        <f t="array" ref="AY32">SUM(COUNTIFS(E32:AI32,{"L S2";"L S2, 2";"L S2, C1";"L S2, C2";"L 2, S2";"L C1, S2";"L C2, S2";"L 3, S2";"L S2, 3"}))/2</f>
        <v>0.5</v>
      </c>
      <c r="AZ32" s="29">
        <f t="shared" si="4"/>
        <v>0.5</v>
      </c>
      <c r="BA32" s="29">
        <f t="array" ref="BA32">SUM(COUNTIFS(E32:AI32,{"L 2";"L 2, S2";"L S2, 2"}))</f>
        <v>2</v>
      </c>
      <c r="BB32" s="29">
        <f t="array" ref="BB32">SUM(COUNTIFS(E32:AI32,{"L 1, C1";"L C1";"L C1, 3";"L C1, C2";"L S2, C1";"L C1, 1";"L 3, C1";"L C2, C1";"L C1, S2"}))/2</f>
        <v>0</v>
      </c>
      <c r="BC32" s="29">
        <f t="array" ref="BC32">SUM(COUNTIFS(E32:AI32,{"L 1, C2";"L C1, C2";"L C2";"L C2, 3";"L S2, C2";"L C2, 1";"L C2, C1";"L 3, C2";"L C2, S2";"L C2, HC";"L HC, C2"}))/2</f>
        <v>0</v>
      </c>
      <c r="BD32" s="29">
        <f t="shared" si="5"/>
        <v>2</v>
      </c>
      <c r="BE32" s="29">
        <f t="array" ref="BE32">SUM(COUNTIFS(E32:AI32,{"L GR";"L HC";"L KT";"L QA";"L C2, HC";"L HC, C2"}))+SUM(COUNTIFS(E32:AI32,{"L HC1";"L HC2"}))/2</f>
        <v>0</v>
      </c>
      <c r="BF32" s="29">
        <f t="shared" si="6"/>
        <v>2.5</v>
      </c>
      <c r="BG32" s="29">
        <f t="array" ref="BG32">SUM(COUNTIFS(E32:AI32,{"L 3";"L C1, 3";"L C2, 3";"L 3, C1";"L 3, C2";"L 3, S2";"L S2, 3"}))</f>
        <v>0</v>
      </c>
      <c r="BH32" s="29">
        <f t="array" ref="BH32">SUM(COUNTIFS(E32:AI32,"L HCKT"))</f>
        <v>0</v>
      </c>
      <c r="BI32" s="29">
        <f t="shared" si="7"/>
        <v>2.5</v>
      </c>
      <c r="BJ32" s="29"/>
      <c r="BK32" s="25"/>
    </row>
    <row r="33" spans="1:63" ht="15.75" customHeight="1">
      <c r="A33" s="23">
        <v>25</v>
      </c>
      <c r="B33" s="24" t="s">
        <v>188</v>
      </c>
      <c r="C33" s="23">
        <v>7279</v>
      </c>
      <c r="D33" s="25" t="s">
        <v>225</v>
      </c>
      <c r="E33" s="23" t="s">
        <v>198</v>
      </c>
      <c r="F33" s="23" t="s">
        <v>193</v>
      </c>
      <c r="G33" s="23" t="s">
        <v>29</v>
      </c>
      <c r="H33" s="23" t="s">
        <v>29</v>
      </c>
      <c r="I33" s="23" t="s">
        <v>29</v>
      </c>
      <c r="J33" s="23" t="s">
        <v>29</v>
      </c>
      <c r="K33" s="23" t="s">
        <v>29</v>
      </c>
      <c r="L33" s="23" t="s">
        <v>29</v>
      </c>
      <c r="M33" s="23" t="s">
        <v>29</v>
      </c>
      <c r="N33" s="23" t="s">
        <v>29</v>
      </c>
      <c r="O33" s="23" t="s">
        <v>29</v>
      </c>
      <c r="P33" s="23" t="s">
        <v>193</v>
      </c>
      <c r="Q33" s="23" t="s">
        <v>29</v>
      </c>
      <c r="R33" s="23" t="s">
        <v>29</v>
      </c>
      <c r="S33" s="23" t="s">
        <v>29</v>
      </c>
      <c r="T33" s="23" t="s">
        <v>29</v>
      </c>
      <c r="U33" s="23" t="s">
        <v>29</v>
      </c>
      <c r="V33" s="23"/>
      <c r="W33" s="23" t="s">
        <v>29</v>
      </c>
      <c r="X33" s="23" t="s">
        <v>29</v>
      </c>
      <c r="Y33" s="23" t="s">
        <v>193</v>
      </c>
      <c r="Z33" s="23" t="s">
        <v>29</v>
      </c>
      <c r="AA33" s="23"/>
      <c r="AB33" s="23"/>
      <c r="AC33" s="23"/>
      <c r="AD33" s="23"/>
      <c r="AE33" s="23"/>
      <c r="AF33" s="23"/>
      <c r="AG33" s="23"/>
      <c r="AH33" s="23"/>
      <c r="AI33" s="26"/>
      <c r="AJ33" s="27">
        <f t="array" ref="AJ33">SUM(COUNTIFS(E33:AI33,{"1";"1, C1";"1, C2";"C2, 1";"C1, 1"}))</f>
        <v>0</v>
      </c>
      <c r="AK33" s="28">
        <f t="array" ref="AK33">SUM(COUNTIFS(E33:AI33,"S1"))/2</f>
        <v>0</v>
      </c>
      <c r="AL33" s="27">
        <f t="array" ref="AL33">SUM(COUNTIFS(E33:AI33,{"S2";"S2, 2";"S2, C1";"S2, C2";"2, S2";"C1, S2";"C2, S2";"3, S2";"S2, 3"}))/2</f>
        <v>1.5</v>
      </c>
      <c r="AM33" s="29">
        <f t="shared" si="0"/>
        <v>1.5</v>
      </c>
      <c r="AN33" s="27">
        <f t="array" ref="AN33">SUM(COUNTIFS(E33:AI33,{"2";"2, S2";"S2, 2"}))</f>
        <v>0</v>
      </c>
      <c r="AO33" s="27">
        <f t="array" ref="AO33">SUM(COUNTIFS(E33:AI33,{"1, C1";"C1";"C1, 3";"C1, C2";"S2, C1";"C1, 1";"3, C1";"C2, C1";"C1, S2"}))/2</f>
        <v>1.5</v>
      </c>
      <c r="AP33" s="27">
        <f t="array" ref="AP33">SUM(COUNTIFS(E33:AI33,{"1, C2";"C1, C2";"C2";"C2, 3";"S2, C2";"C2, 1";"C2, C1";"3, C2";"C2, S2";"C2, HC";"HC, C2"}))/2</f>
        <v>0</v>
      </c>
      <c r="AQ33" s="29">
        <f t="shared" si="1"/>
        <v>1.5</v>
      </c>
      <c r="AR33" s="27">
        <f t="array" ref="AR33">SUM(COUNTIFS(E33:AI33,{"GR";"HC";"KT";"QA";"C2, HC";"HC, C2"}))+SUM(COUNTIFS(E33:AI33,{"HC1";"HC2"}))/2</f>
        <v>17</v>
      </c>
      <c r="AS33" s="29">
        <f t="shared" si="2"/>
        <v>20</v>
      </c>
      <c r="AT33" s="27">
        <f t="array" ref="AT33">SUM(COUNTIFS(E33:AI33,{"3";"C1, 3";"C2, 3";"3, C1";"3, C2";"3, S2";"S2, 3"}))</f>
        <v>0</v>
      </c>
      <c r="AU33" s="27">
        <f t="array" ref="AU33">SUM(COUNTIFS(E33:AI33,"HCKT"))</f>
        <v>0</v>
      </c>
      <c r="AV33" s="29">
        <f t="shared" si="3"/>
        <v>20</v>
      </c>
      <c r="AW33" s="29">
        <f t="array" ref="AW33">SUM(COUNTIFS(E33:AI33,{"L 1";"L 1, C1";"L 1, C2";"L C2, 1";"L C1, 1"}))</f>
        <v>0</v>
      </c>
      <c r="AX33" s="29">
        <f t="array" ref="AX33">SUM(COUNTIFS(E33:AI33,"L S1"))/2</f>
        <v>0</v>
      </c>
      <c r="AY33" s="29">
        <f t="array" ref="AY33">SUM(COUNTIFS(E33:AI33,{"L S2";"L S2, 2";"L S2, C1";"L S2, C2";"L 2, S2";"L C1, S2";"L C2, S2";"L 3, S2";"L S2, 3"}))/2</f>
        <v>0</v>
      </c>
      <c r="AZ33" s="29">
        <f t="shared" si="4"/>
        <v>0</v>
      </c>
      <c r="BA33" s="29">
        <f t="array" ref="BA33">SUM(COUNTIFS(E33:AI33,{"L 2";"L 2, S2";"L S2, 2"}))</f>
        <v>1</v>
      </c>
      <c r="BB33" s="29">
        <f t="array" ref="BB33">SUM(COUNTIFS(E33:AI33,{"L 1, C1";"L C1";"L C1, 3";"L C1, C2";"L S2, C1";"L C1, 1";"L 3, C1";"L C2, C1";"L C1, S2"}))/2</f>
        <v>0</v>
      </c>
      <c r="BC33" s="29">
        <f t="array" ref="BC33">SUM(COUNTIFS(E33:AI33,{"L 1, C2";"L C1, C2";"L C2";"L C2, 3";"L S2, C2";"L C2, 1";"L C2, C1";"L 3, C2";"L C2, S2";"L C2, HC";"L HC, C2"}))/2</f>
        <v>0</v>
      </c>
      <c r="BD33" s="29">
        <f t="shared" si="5"/>
        <v>1</v>
      </c>
      <c r="BE33" s="29">
        <f t="array" ref="BE33">SUM(COUNTIFS(E33:AI33,{"L GR";"L HC";"L KT";"L QA";"L C2, HC";"L HC, C2"}))+SUM(COUNTIFS(E33:AI33,{"L HC1";"L HC2"}))/2</f>
        <v>0</v>
      </c>
      <c r="BF33" s="29">
        <f t="shared" si="6"/>
        <v>1</v>
      </c>
      <c r="BG33" s="29">
        <f t="array" ref="BG33">SUM(COUNTIFS(E33:AI33,{"L 3";"L C1, 3";"L C2, 3";"L 3, C1";"L 3, C2";"L 3, S2";"L S2, 3"}))</f>
        <v>0</v>
      </c>
      <c r="BH33" s="29">
        <f t="array" ref="BH33">SUM(COUNTIFS(E33:AI33,"L HCKT"))</f>
        <v>0</v>
      </c>
      <c r="BI33" s="29">
        <f t="shared" si="7"/>
        <v>1</v>
      </c>
      <c r="BJ33" s="29"/>
      <c r="BK33" s="25"/>
    </row>
    <row r="34" spans="1:63" ht="15.75" customHeight="1">
      <c r="A34" s="23">
        <v>26</v>
      </c>
      <c r="B34" s="24" t="s">
        <v>188</v>
      </c>
      <c r="C34" s="23">
        <v>7280</v>
      </c>
      <c r="D34" s="25" t="s">
        <v>226</v>
      </c>
      <c r="E34" s="23" t="s">
        <v>202</v>
      </c>
      <c r="F34" s="23" t="s">
        <v>29</v>
      </c>
      <c r="G34" s="23" t="s">
        <v>29</v>
      </c>
      <c r="H34" s="23" t="s">
        <v>29</v>
      </c>
      <c r="I34" s="23"/>
      <c r="J34" s="23" t="s">
        <v>29</v>
      </c>
      <c r="K34" s="23" t="s">
        <v>29</v>
      </c>
      <c r="L34" s="23" t="s">
        <v>29</v>
      </c>
      <c r="M34" s="23" t="s">
        <v>29</v>
      </c>
      <c r="N34" s="23" t="s">
        <v>29</v>
      </c>
      <c r="O34" s="23" t="s">
        <v>29</v>
      </c>
      <c r="P34" s="23" t="s">
        <v>29</v>
      </c>
      <c r="Q34" s="23" t="s">
        <v>29</v>
      </c>
      <c r="R34" s="23" t="s">
        <v>29</v>
      </c>
      <c r="S34" s="23" t="s">
        <v>29</v>
      </c>
      <c r="T34" s="23" t="s">
        <v>29</v>
      </c>
      <c r="U34" s="23" t="s">
        <v>29</v>
      </c>
      <c r="V34" s="23" t="s">
        <v>29</v>
      </c>
      <c r="W34" s="23"/>
      <c r="X34" s="23" t="s">
        <v>29</v>
      </c>
      <c r="Y34" s="23" t="s">
        <v>29</v>
      </c>
      <c r="Z34" s="23" t="s">
        <v>29</v>
      </c>
      <c r="AA34" s="23" t="s">
        <v>29</v>
      </c>
      <c r="AB34" s="23" t="s">
        <v>29</v>
      </c>
      <c r="AC34" s="23"/>
      <c r="AD34" s="23"/>
      <c r="AE34" s="23"/>
      <c r="AF34" s="23"/>
      <c r="AG34" s="23"/>
      <c r="AH34" s="23"/>
      <c r="AI34" s="26"/>
      <c r="AJ34" s="27">
        <f t="array" ref="AJ34">SUM(COUNTIFS(E34:AI34,{"1";"1, C1";"1, C2";"C2, 1";"C1, 1"}))</f>
        <v>0</v>
      </c>
      <c r="AK34" s="28">
        <f t="array" ref="AK34">SUM(COUNTIFS(E34:AI34,"S1"))/2</f>
        <v>0</v>
      </c>
      <c r="AL34" s="27">
        <f t="array" ref="AL34">SUM(COUNTIFS(E34:AI34,{"S2";"S2, 2";"S2, C1";"S2, C2";"2, S2";"C1, S2";"C2, S2";"3, S2";"S2, 3"}))/2</f>
        <v>0</v>
      </c>
      <c r="AM34" s="29">
        <f t="shared" si="0"/>
        <v>0</v>
      </c>
      <c r="AN34" s="27">
        <f t="array" ref="AN34">SUM(COUNTIFS(E34:AI34,{"2";"2, S2";"S2, 2"}))</f>
        <v>0</v>
      </c>
      <c r="AO34" s="27">
        <f t="array" ref="AO34">SUM(COUNTIFS(E34:AI34,{"1, C1";"C1";"C1, 3";"C1, C2";"S2, C1";"C1, 1";"3, C1";"C2, C1";"C1, S2"}))/2</f>
        <v>0</v>
      </c>
      <c r="AP34" s="27">
        <f t="array" ref="AP34">SUM(COUNTIFS(E34:AI34,{"1, C2";"C1, C2";"C2";"C2, 3";"S2, C2";"C2, 1";"C2, C1";"3, C2";"C2, S2";"C2, HC";"HC, C2"}))/2</f>
        <v>0</v>
      </c>
      <c r="AQ34" s="29">
        <f t="shared" si="1"/>
        <v>0</v>
      </c>
      <c r="AR34" s="27">
        <f t="array" ref="AR34">SUM(COUNTIFS(E34:AI34,{"GR";"HC";"KT";"QA";"C2, HC";"HC, C2"}))+SUM(COUNTIFS(E34:AI34,{"HC1";"HC2"}))/2</f>
        <v>21</v>
      </c>
      <c r="AS34" s="29">
        <f t="shared" si="2"/>
        <v>21</v>
      </c>
      <c r="AT34" s="27">
        <f t="array" ref="AT34">SUM(COUNTIFS(E34:AI34,{"3";"C1, 3";"C2, 3";"3, C1";"3, C2";"3, S2";"S2, 3"}))</f>
        <v>0</v>
      </c>
      <c r="AU34" s="27">
        <f t="array" ref="AU34">SUM(COUNTIFS(E34:AI34,"HCKT"))</f>
        <v>0</v>
      </c>
      <c r="AV34" s="29">
        <f t="shared" si="3"/>
        <v>21</v>
      </c>
      <c r="AW34" s="29">
        <f t="array" ref="AW34">SUM(COUNTIFS(E34:AI34,{"L 1";"L 1, C1";"L 1, C2";"L C2, 1";"L C1, 1"}))</f>
        <v>0</v>
      </c>
      <c r="AX34" s="29">
        <f t="array" ref="AX34">SUM(COUNTIFS(E34:AI34,"L S1"))/2</f>
        <v>0</v>
      </c>
      <c r="AY34" s="29">
        <f t="array" ref="AY34">SUM(COUNTIFS(E34:AI34,{"L S2";"L S2, 2";"L S2, C1";"L S2, C2";"L 2, S2";"L C1, S2";"L C2, S2";"L 3, S2";"L S2, 3"}))/2</f>
        <v>0</v>
      </c>
      <c r="AZ34" s="29">
        <f t="shared" si="4"/>
        <v>0</v>
      </c>
      <c r="BA34" s="29">
        <f t="array" ref="BA34">SUM(COUNTIFS(E34:AI34,{"L 2";"L 2, S2";"L S2, 2"}))</f>
        <v>0</v>
      </c>
      <c r="BB34" s="29">
        <f t="array" ref="BB34">SUM(COUNTIFS(E34:AI34,{"L 1, C1";"L C1";"L C1, 3";"L C1, C2";"L S2, C1";"L C1, 1";"L 3, C1";"L C2, C1";"L C1, S2"}))/2</f>
        <v>0</v>
      </c>
      <c r="BC34" s="29">
        <f t="array" ref="BC34">SUM(COUNTIFS(E34:AI34,{"L 1, C2";"L C1, C2";"L C2";"L C2, 3";"L S2, C2";"L C2, 1";"L C2, C1";"L 3, C2";"L C2, S2";"L C2, HC";"L HC, C2"}))/2</f>
        <v>0</v>
      </c>
      <c r="BD34" s="29">
        <f t="shared" si="5"/>
        <v>0</v>
      </c>
      <c r="BE34" s="29">
        <f t="array" ref="BE34">SUM(COUNTIFS(E34:AI34,{"L GR";"L HC";"L KT";"L QA";"L C2, HC";"L HC, C2"}))+SUM(COUNTIFS(E34:AI34,{"L HC1";"L HC2"}))/2</f>
        <v>1</v>
      </c>
      <c r="BF34" s="29">
        <f t="shared" si="6"/>
        <v>1</v>
      </c>
      <c r="BG34" s="29">
        <f t="array" ref="BG34">SUM(COUNTIFS(E34:AI34,{"L 3";"L C1, 3";"L C2, 3";"L 3, C1";"L 3, C2";"L 3, S2";"L S2, 3"}))</f>
        <v>0</v>
      </c>
      <c r="BH34" s="29">
        <f t="array" ref="BH34">SUM(COUNTIFS(E34:AI34,"L HCKT"))</f>
        <v>0</v>
      </c>
      <c r="BI34" s="29">
        <f t="shared" si="7"/>
        <v>1</v>
      </c>
      <c r="BJ34" s="29"/>
      <c r="BK34" s="25"/>
    </row>
    <row r="35" spans="1:63" ht="15.75" customHeight="1">
      <c r="A35" s="23">
        <v>27</v>
      </c>
      <c r="B35" s="24" t="s">
        <v>188</v>
      </c>
      <c r="C35" s="23">
        <v>7281</v>
      </c>
      <c r="D35" s="25" t="s">
        <v>227</v>
      </c>
      <c r="E35" s="23"/>
      <c r="F35" s="23" t="s">
        <v>29</v>
      </c>
      <c r="G35" s="23" t="s">
        <v>29</v>
      </c>
      <c r="H35" s="23" t="s">
        <v>29</v>
      </c>
      <c r="I35" s="23"/>
      <c r="J35" s="23" t="s">
        <v>29</v>
      </c>
      <c r="K35" s="23" t="s">
        <v>29</v>
      </c>
      <c r="L35" s="23" t="s">
        <v>29</v>
      </c>
      <c r="M35" s="23" t="s">
        <v>29</v>
      </c>
      <c r="N35" s="23" t="s">
        <v>29</v>
      </c>
      <c r="O35" s="23" t="s">
        <v>29</v>
      </c>
      <c r="P35" s="23"/>
      <c r="Q35" s="23" t="s">
        <v>29</v>
      </c>
      <c r="R35" s="23" t="s">
        <v>29</v>
      </c>
      <c r="S35" s="23" t="s">
        <v>29</v>
      </c>
      <c r="T35" s="23" t="s">
        <v>29</v>
      </c>
      <c r="U35" s="23" t="s">
        <v>29</v>
      </c>
      <c r="V35" s="23" t="s">
        <v>29</v>
      </c>
      <c r="W35" s="23"/>
      <c r="X35" s="23" t="s">
        <v>29</v>
      </c>
      <c r="Y35" s="23" t="s">
        <v>29</v>
      </c>
      <c r="Z35" s="23" t="s">
        <v>29</v>
      </c>
      <c r="AA35" s="23" t="s">
        <v>29</v>
      </c>
      <c r="AB35" s="23" t="s">
        <v>29</v>
      </c>
      <c r="AC35" s="23" t="s">
        <v>29</v>
      </c>
      <c r="AD35" s="23"/>
      <c r="AE35" s="23" t="s">
        <v>202</v>
      </c>
      <c r="AF35" s="23"/>
      <c r="AG35" s="23"/>
      <c r="AH35" s="23"/>
      <c r="AI35" s="26"/>
      <c r="AJ35" s="27">
        <f t="array" ref="AJ35">SUM(COUNTIFS(E35:AI35,{"1";"1, C1";"1, C2";"C2, 1";"C1, 1"}))</f>
        <v>0</v>
      </c>
      <c r="AK35" s="28">
        <f t="array" ref="AK35">SUM(COUNTIFS(E35:AI35,"S1"))/2</f>
        <v>0</v>
      </c>
      <c r="AL35" s="27">
        <f t="array" ref="AL35">SUM(COUNTIFS(E35:AI35,{"S2";"S2, 2";"S2, C1";"S2, C2";"2, S2";"C1, S2";"C2, S2";"3, S2";"S2, 3"}))/2</f>
        <v>0</v>
      </c>
      <c r="AM35" s="29">
        <f t="shared" si="0"/>
        <v>0</v>
      </c>
      <c r="AN35" s="27">
        <f t="array" ref="AN35">SUM(COUNTIFS(E35:AI35,{"2";"2, S2";"S2, 2"}))</f>
        <v>0</v>
      </c>
      <c r="AO35" s="27">
        <f t="array" ref="AO35">SUM(COUNTIFS(E35:AI35,{"1, C1";"C1";"C1, 3";"C1, C2";"S2, C1";"C1, 1";"3, C1";"C2, C1";"C1, S2"}))/2</f>
        <v>0</v>
      </c>
      <c r="AP35" s="27">
        <f t="array" ref="AP35">SUM(COUNTIFS(E35:AI35,{"1, C2";"C1, C2";"C2";"C2, 3";"S2, C2";"C2, 1";"C2, C1";"3, C2";"C2, S2";"C2, HC";"HC, C2"}))/2</f>
        <v>0</v>
      </c>
      <c r="AQ35" s="29">
        <f t="shared" si="1"/>
        <v>0</v>
      </c>
      <c r="AR35" s="27">
        <f t="array" ref="AR35">SUM(COUNTIFS(E35:AI35,{"GR";"HC";"KT";"QA";"C2, HC";"HC, C2"}))+SUM(COUNTIFS(E35:AI35,{"HC1";"HC2"}))/2</f>
        <v>21</v>
      </c>
      <c r="AS35" s="29">
        <f t="shared" si="2"/>
        <v>21</v>
      </c>
      <c r="AT35" s="27">
        <f t="array" ref="AT35">SUM(COUNTIFS(E35:AI35,{"3";"C1, 3";"C2, 3";"3, C1";"3, C2";"3, S2";"S2, 3"}))</f>
        <v>0</v>
      </c>
      <c r="AU35" s="27">
        <f t="array" ref="AU35">SUM(COUNTIFS(E35:AI35,"HCKT"))</f>
        <v>0</v>
      </c>
      <c r="AV35" s="29">
        <f t="shared" si="3"/>
        <v>21</v>
      </c>
      <c r="AW35" s="29">
        <f t="array" ref="AW35">SUM(COUNTIFS(E35:AI35,{"L 1";"L 1, C1";"L 1, C2";"L C2, 1";"L C1, 1"}))</f>
        <v>0</v>
      </c>
      <c r="AX35" s="29">
        <f t="array" ref="AX35">SUM(COUNTIFS(E35:AI35,"L S1"))/2</f>
        <v>0</v>
      </c>
      <c r="AY35" s="29">
        <f t="array" ref="AY35">SUM(COUNTIFS(E35:AI35,{"L S2";"L S2, 2";"L S2, C1";"L S2, C2";"L 2, S2";"L C1, S2";"L C2, S2";"L 3, S2";"L S2, 3"}))/2</f>
        <v>0</v>
      </c>
      <c r="AZ35" s="29">
        <f t="shared" si="4"/>
        <v>0</v>
      </c>
      <c r="BA35" s="29">
        <f t="array" ref="BA35">SUM(COUNTIFS(E35:AI35,{"L 2";"L 2, S2";"L S2, 2"}))</f>
        <v>0</v>
      </c>
      <c r="BB35" s="29">
        <f t="array" ref="BB35">SUM(COUNTIFS(E35:AI35,{"L 1, C1";"L C1";"L C1, 3";"L C1, C2";"L S2, C1";"L C1, 1";"L 3, C1";"L C2, C1";"L C1, S2"}))/2</f>
        <v>0</v>
      </c>
      <c r="BC35" s="29">
        <f t="array" ref="BC35">SUM(COUNTIFS(E35:AI35,{"L 1, C2";"L C1, C2";"L C2";"L C2, 3";"L S2, C2";"L C2, 1";"L C2, C1";"L 3, C2";"L C2, S2";"L C2, HC";"L HC, C2"}))/2</f>
        <v>0</v>
      </c>
      <c r="BD35" s="29">
        <f t="shared" si="5"/>
        <v>0</v>
      </c>
      <c r="BE35" s="29">
        <f t="array" ref="BE35">SUM(COUNTIFS(E35:AI35,{"L GR";"L HC";"L KT";"L QA";"L C2, HC";"L HC, C2"}))+SUM(COUNTIFS(E35:AI35,{"L HC1";"L HC2"}))/2</f>
        <v>1</v>
      </c>
      <c r="BF35" s="29">
        <f t="shared" si="6"/>
        <v>1</v>
      </c>
      <c r="BG35" s="29">
        <f t="array" ref="BG35">SUM(COUNTIFS(E35:AI35,{"L 3";"L C1, 3";"L C2, 3";"L 3, C1";"L 3, C2";"L 3, S2";"L S2, 3"}))</f>
        <v>0</v>
      </c>
      <c r="BH35" s="29">
        <f t="array" ref="BH35">SUM(COUNTIFS(E35:AI35,"L HCKT"))</f>
        <v>0</v>
      </c>
      <c r="BI35" s="29">
        <f t="shared" si="7"/>
        <v>1</v>
      </c>
      <c r="BJ35" s="29"/>
      <c r="BK35" s="25"/>
    </row>
    <row r="36" spans="1:63" ht="15.75" customHeight="1">
      <c r="A36" s="23"/>
      <c r="B36" s="24"/>
      <c r="C36" s="23"/>
      <c r="D36" s="25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6"/>
      <c r="AJ36" s="27"/>
      <c r="AK36" s="28"/>
      <c r="AL36" s="27"/>
      <c r="AM36" s="29"/>
      <c r="AN36" s="27"/>
      <c r="AO36" s="27"/>
      <c r="AP36" s="27"/>
      <c r="AQ36" s="29"/>
      <c r="AR36" s="27"/>
      <c r="AS36" s="29"/>
      <c r="AT36" s="27"/>
      <c r="AU36" s="27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5"/>
    </row>
    <row r="37" spans="1:63" ht="15.75" customHeight="1">
      <c r="A37" s="23"/>
      <c r="B37" s="24"/>
      <c r="C37" s="23"/>
      <c r="D37" s="25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6"/>
      <c r="AJ37" s="27"/>
      <c r="AK37" s="28"/>
      <c r="AL37" s="27"/>
      <c r="AM37" s="29"/>
      <c r="AN37" s="27"/>
      <c r="AO37" s="27"/>
      <c r="AP37" s="27"/>
      <c r="AQ37" s="29"/>
      <c r="AR37" s="27"/>
      <c r="AS37" s="29"/>
      <c r="AT37" s="27"/>
      <c r="AU37" s="27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5"/>
    </row>
    <row r="38" spans="1:63" ht="15.75" customHeight="1">
      <c r="A38" s="31"/>
      <c r="B38" s="32"/>
      <c r="C38" s="31"/>
      <c r="D38" s="33" t="s">
        <v>78</v>
      </c>
      <c r="E38" s="33">
        <f t="array" ref="E38">SUM(COUNTIFS(E$9:E$37,{"1";"1C1";"1C2";"C21"}))+SUM(COUNTIF(E$9:E$37,"S1"))/2+SUM(COUNTIF(E$9:E$37,{"S2";"S22";"S2C1";"S2C2";"2S2";"C1S2";"C2S2"}))/2+SUM(COUNTIF(E$9:E$37,{"2";"2S2";"S22"}))+SUM(COUNTIF(E$9:E$37,{"1C1";"C1";"C13";"C1C2";"S2C1";"C11";"3C1";"C2C1";"C1S2"}))/2+SUM(COUNTIF(E$9:E$37,{"1C2";"C1C2";"C2";"C23";"S2C2";"C21";"C2C1";"3C2";"C2S2"}))/2+SUM(COUNTIFS(E$9:E$37,{"GR";"HC";"KT";"QA"}))+SUM(COUNTIFS(E$9:E$37,{"HC1";"HC2"}))/2+SUM(COUNTIF(E$9:E$37,{"3";"C13";"C23";"3C1";"3C2"}))+SUM(COUNTIFS(E$9:E$37,"HCKT"))</f>
        <v>0</v>
      </c>
      <c r="F38" s="33">
        <f t="array" ref="F38">SUM(COUNTIFS(F$9:F$37,{"1";"1C1";"1C2";"C21"}))+SUM(COUNTIF(F$9:F$37,"S1"))/2+SUM(COUNTIF(F$9:F$37,{"S2";"S22";"S2C1";"S2C2";"2S2";"C1S2";"C2S2"}))/2+SUM(COUNTIF(F$9:F$37,{"2";"2S2";"S22"}))+SUM(COUNTIF(F$9:F$37,{"1C1";"C1";"C13";"C1C2";"S2C1";"C11";"3C1";"C2C1";"C1S2"}))/2+SUM(COUNTIF(F$9:F$37,{"1C2";"C1C2";"C2";"C23";"S2C2";"C21";"C2C1";"3C2";"C2S2"}))/2+SUM(COUNTIFS(F$9:F$37,{"GR";"HC";"KT";"QA"}))+SUM(COUNTIFS(F$9:F$37,{"HC1";"HC2"}))/2+SUM(COUNTIF(F$9:F$37,{"3";"C13";"C23";"3C1";"3C2"}))+SUM(COUNTIFS(F$9:F$37,"HCKT"))</f>
        <v>14</v>
      </c>
      <c r="G38" s="33">
        <f t="array" ref="G38">SUM(COUNTIFS(G$9:G$37,{"1";"1C1";"1C2";"C21"}))+SUM(COUNTIF(G$9:G$37,"S1"))/2+SUM(COUNTIF(G$9:G$37,{"S2";"S22";"S2C1";"S2C2";"2S2";"C1S2";"C2S2"}))/2+SUM(COUNTIF(G$9:G$37,{"2";"2S2";"S22"}))+SUM(COUNTIF(G$9:G$37,{"1C1";"C1";"C13";"C1C2";"S2C1";"C11";"3C1";"C2C1";"C1S2"}))/2+SUM(COUNTIF(G$9:G$37,{"1C2";"C1C2";"C2";"C23";"S2C2";"C21";"C2C1";"3C2";"C2S2"}))/2+SUM(COUNTIFS(G$9:G$37,{"GR";"HC";"KT";"QA"}))+SUM(COUNTIFS(G$9:G$37,{"HC1";"HC2"}))/2+SUM(COUNTIF(G$9:G$37,{"3";"C13";"C23";"3C1";"3C2"}))+SUM(COUNTIFS(G$9:G$37,"HCKT"))</f>
        <v>16</v>
      </c>
      <c r="H38" s="33">
        <f t="array" ref="H38">SUM(COUNTIFS(H$9:H$37,{"1";"1C1";"1C2";"C21"}))+SUM(COUNTIF(H$9:H$37,"S1"))/2+SUM(COUNTIF(H$9:H$37,{"S2";"S22";"S2C1";"S2C2";"2S2";"C1S2";"C2S2"}))/2+SUM(COUNTIF(H$9:H$37,{"2";"2S2";"S22"}))+SUM(COUNTIF(H$9:H$37,{"1C1";"C1";"C13";"C1C2";"S2C1";"C11";"3C1";"C2C1";"C1S2"}))/2+SUM(COUNTIF(H$9:H$37,{"1C2";"C1C2";"C2";"C23";"S2C2";"C21";"C2C1";"3C2";"C2S2"}))/2+SUM(COUNTIFS(H$9:H$37,{"GR";"HC";"KT";"QA"}))+SUM(COUNTIFS(H$9:H$37,{"HC1";"HC2"}))/2+SUM(COUNTIF(H$9:H$37,{"3";"C13";"C23";"3C1";"3C2"}))+SUM(COUNTIFS(H$9:H$37,"HCKT"))</f>
        <v>11.5</v>
      </c>
      <c r="I38" s="33">
        <f t="array" ref="I38">SUM(COUNTIFS(I$9:I$37,{"1";"1C1";"1C2";"C21"}))+SUM(COUNTIF(I$9:I$37,"S1"))/2+SUM(COUNTIF(I$9:I$37,{"S2";"S22";"S2C1";"S2C2";"2S2";"C1S2";"C2S2"}))/2+SUM(COUNTIF(I$9:I$37,{"2";"2S2";"S22"}))+SUM(COUNTIF(I$9:I$37,{"1C1";"C1";"C13";"C1C2";"S2C1";"C11";"3C1";"C2C1";"C1S2"}))/2+SUM(COUNTIF(I$9:I$37,{"1C2";"C1C2";"C2";"C23";"S2C2";"C21";"C2C1";"3C2";"C2S2"}))/2+SUM(COUNTIFS(I$9:I$37,{"GR";"HC";"KT";"QA"}))+SUM(COUNTIFS(I$9:I$37,{"HC1";"HC2"}))/2+SUM(COUNTIF(I$9:I$37,{"3";"C13";"C23";"3C1";"3C2"}))+SUM(COUNTIFS(I$9:I$37,"HCKT"))</f>
        <v>9.5</v>
      </c>
      <c r="J38" s="33">
        <f t="array" ref="J38">SUM(COUNTIFS(J$9:J$37,{"1";"1C1";"1C2";"C21"}))+SUM(COUNTIF(J$9:J$37,"S1"))/2+SUM(COUNTIF(J$9:J$37,{"S2";"S22";"S2C1";"S2C2";"2S2";"C1S2";"C2S2"}))/2+SUM(COUNTIF(J$9:J$37,{"2";"2S2";"S22"}))+SUM(COUNTIF(J$9:J$37,{"1C1";"C1";"C13";"C1C2";"S2C1";"C11";"3C1";"C2C1";"C1S2"}))/2+SUM(COUNTIF(J$9:J$37,{"1C2";"C1C2";"C2";"C23";"S2C2";"C21";"C2C1";"3C2";"C2S2"}))/2+SUM(COUNTIFS(J$9:J$37,{"GR";"HC";"KT";"QA"}))+SUM(COUNTIFS(J$9:J$37,{"HC1";"HC2"}))/2+SUM(COUNTIF(J$9:J$37,{"3";"C13";"C23";"3C1";"3C2"}))+SUM(COUNTIFS(J$9:J$37,"HCKT"))</f>
        <v>17</v>
      </c>
      <c r="K38" s="33">
        <f t="array" ref="K38">SUM(COUNTIFS(K$9:K$37,{"1";"1C1";"1C2";"C21"}))+SUM(COUNTIF(K$9:K$37,"S1"))/2+SUM(COUNTIF(K$9:K$37,{"S2";"S22";"S2C1";"S2C2";"2S2";"C1S2";"C2S2"}))/2+SUM(COUNTIF(K$9:K$37,{"2";"2S2";"S22"}))+SUM(COUNTIF(K$9:K$37,{"1C1";"C1";"C13";"C1C2";"S2C1";"C11";"3C1";"C2C1";"C1S2"}))/2+SUM(COUNTIF(K$9:K$37,{"1C2";"C1C2";"C2";"C23";"S2C2";"C21";"C2C1";"3C2";"C2S2"}))/2+SUM(COUNTIFS(K$9:K$37,{"GR";"HC";"KT";"QA"}))+SUM(COUNTIFS(K$9:K$37,{"HC1";"HC2"}))/2+SUM(COUNTIF(K$9:K$37,{"3";"C13";"C23";"3C1";"3C2"}))+SUM(COUNTIFS(K$9:K$37,"HCKT"))</f>
        <v>16</v>
      </c>
      <c r="L38" s="33">
        <f t="array" ref="L38">SUM(COUNTIFS(L$9:L$37,{"1";"1C1";"1C2";"C21"}))+SUM(COUNTIF(L$9:L$37,"S1"))/2+SUM(COUNTIF(L$9:L$37,{"S2";"S22";"S2C1";"S2C2";"2S2";"C1S2";"C2S2"}))/2+SUM(COUNTIF(L$9:L$37,{"2";"2S2";"S22"}))+SUM(COUNTIF(L$9:L$37,{"1C1";"C1";"C13";"C1C2";"S2C1";"C11";"3C1";"C2C1";"C1S2"}))/2+SUM(COUNTIF(L$9:L$37,{"1C2";"C1C2";"C2";"C23";"S2C2";"C21";"C2C1";"3C2";"C2S2"}))/2+SUM(COUNTIFS(L$9:L$37,{"GR";"HC";"KT";"QA"}))+SUM(COUNTIFS(L$9:L$37,{"HC1";"HC2"}))/2+SUM(COUNTIF(L$9:L$37,{"3";"C13";"C23";"3C1";"3C2"}))+SUM(COUNTIFS(L$9:L$37,"HCKT"))</f>
        <v>14</v>
      </c>
      <c r="M38" s="33">
        <f t="array" ref="M38">SUM(COUNTIFS(M$9:M$37,{"1";"1C1";"1C2";"C21"}))+SUM(COUNTIF(M$9:M$37,"S1"))/2+SUM(COUNTIF(M$9:M$37,{"S2";"S22";"S2C1";"S2C2";"2S2";"C1S2";"C2S2"}))/2+SUM(COUNTIF(M$9:M$37,{"2";"2S2";"S22"}))+SUM(COUNTIF(M$9:M$37,{"1C1";"C1";"C13";"C1C2";"S2C1";"C11";"3C1";"C2C1";"C1S2"}))/2+SUM(COUNTIF(M$9:M$37,{"1C2";"C1C2";"C2";"C23";"S2C2";"C21";"C2C1";"3C2";"C2S2"}))/2+SUM(COUNTIFS(M$9:M$37,{"GR";"HC";"KT";"QA"}))+SUM(COUNTIFS(M$9:M$37,{"HC1";"HC2"}))/2+SUM(COUNTIF(M$9:M$37,{"3";"C13";"C23";"3C1";"3C2"}))+SUM(COUNTIFS(M$9:M$37,"HCKT"))</f>
        <v>15</v>
      </c>
      <c r="N38" s="33">
        <f t="array" ref="N38">SUM(COUNTIFS(N$9:N$37,{"1";"1C1";"1C2";"C21"}))+SUM(COUNTIF(N$9:N$37,"S1"))/2+SUM(COUNTIF(N$9:N$37,{"S2";"S22";"S2C1";"S2C2";"2S2";"C1S2";"C2S2"}))/2+SUM(COUNTIF(N$9:N$37,{"2";"2S2";"S22"}))+SUM(COUNTIF(N$9:N$37,{"1C1";"C1";"C13";"C1C2";"S2C1";"C11";"3C1";"C2C1";"C1S2"}))/2+SUM(COUNTIF(N$9:N$37,{"1C2";"C1C2";"C2";"C23";"S2C2";"C21";"C2C1";"3C2";"C2S2"}))/2+SUM(COUNTIFS(N$9:N$37,{"GR";"HC";"KT";"QA"}))+SUM(COUNTIFS(N$9:N$37,{"HC1";"HC2"}))/2+SUM(COUNTIF(N$9:N$37,{"3";"C13";"C23";"3C1";"3C2"}))+SUM(COUNTIFS(N$9:N$37,"HCKT"))</f>
        <v>18</v>
      </c>
      <c r="O38" s="33">
        <f t="array" ref="O38">SUM(COUNTIFS(O$9:O$37,{"1";"1C1";"1C2";"C21"}))+SUM(COUNTIF(O$9:O$37,"S1"))/2+SUM(COUNTIF(O$9:O$37,{"S2";"S22";"S2C1";"S2C2";"2S2";"C1S2";"C2S2"}))/2+SUM(COUNTIF(O$9:O$37,{"2";"2S2";"S22"}))+SUM(COUNTIF(O$9:O$37,{"1C1";"C1";"C13";"C1C2";"S2C1";"C11";"3C1";"C2C1";"C1S2"}))/2+SUM(COUNTIF(O$9:O$37,{"1C2";"C1C2";"C2";"C23";"S2C2";"C21";"C2C1";"3C2";"C2S2"}))/2+SUM(COUNTIFS(O$9:O$37,{"GR";"HC";"KT";"QA"}))+SUM(COUNTIFS(O$9:O$37,{"HC1";"HC2"}))/2+SUM(COUNTIF(O$9:O$37,{"3";"C13";"C23";"3C1";"3C2"}))+SUM(COUNTIFS(O$9:O$37,"HCKT"))</f>
        <v>14</v>
      </c>
      <c r="P38" s="33">
        <f t="array" ref="P38">SUM(COUNTIFS(P$9:P$37,{"1";"1C1";"1C2";"C21"}))+SUM(COUNTIF(P$9:P$37,"S1"))/2+SUM(COUNTIF(P$9:P$37,{"S2";"S22";"S2C1";"S2C2";"2S2";"C1S2";"C2S2"}))/2+SUM(COUNTIF(P$9:P$37,{"2";"2S2";"S22"}))+SUM(COUNTIF(P$9:P$37,{"1C1";"C1";"C13";"C1C2";"S2C1";"C11";"3C1";"C2C1";"C1S2"}))/2+SUM(COUNTIF(P$9:P$37,{"1C2";"C1C2";"C2";"C23";"S2C2";"C21";"C2C1";"3C2";"C2S2"}))/2+SUM(COUNTIFS(P$9:P$37,{"GR";"HC";"KT";"QA"}))+SUM(COUNTIFS(P$9:P$37,{"HC1";"HC2"}))/2+SUM(COUNTIF(P$9:P$37,{"3";"C13";"C23";"3C1";"3C2"}))+SUM(COUNTIFS(P$9:P$37,"HCKT"))</f>
        <v>14</v>
      </c>
      <c r="Q38" s="33">
        <f t="array" ref="Q38">SUM(COUNTIFS(Q$9:Q$37,{"1";"1C1";"1C2";"C21"}))+SUM(COUNTIF(Q$9:Q$37,"S1"))/2+SUM(COUNTIF(Q$9:Q$37,{"S2";"S22";"S2C1";"S2C2";"2S2";"C1S2";"C2S2"}))/2+SUM(COUNTIF(Q$9:Q$37,{"2";"2S2";"S22"}))+SUM(COUNTIF(Q$9:Q$37,{"1C1";"C1";"C13";"C1C2";"S2C1";"C11";"3C1";"C2C1";"C1S2"}))/2+SUM(COUNTIF(Q$9:Q$37,{"1C2";"C1C2";"C2";"C23";"S2C2";"C21";"C2C1";"3C2";"C2S2"}))/2+SUM(COUNTIFS(Q$9:Q$37,{"GR";"HC";"KT";"QA"}))+SUM(COUNTIFS(Q$9:Q$37,{"HC1";"HC2"}))/2+SUM(COUNTIF(Q$9:Q$37,{"3";"C13";"C23";"3C1";"3C2"}))+SUM(COUNTIFS(Q$9:Q$37,"HCKT"))</f>
        <v>18.5</v>
      </c>
      <c r="R38" s="33">
        <f t="array" ref="R38">SUM(COUNTIFS(R$9:R$37,{"1";"1C1";"1C2";"C21"}))+SUM(COUNTIF(R$9:R$37,"S1"))/2+SUM(COUNTIF(R$9:R$37,{"S2";"S22";"S2C1";"S2C2";"2S2";"C1S2";"C2S2"}))/2+SUM(COUNTIF(R$9:R$37,{"2";"2S2";"S22"}))+SUM(COUNTIF(R$9:R$37,{"1C1";"C1";"C13";"C1C2";"S2C1";"C11";"3C1";"C2C1";"C1S2"}))/2+SUM(COUNTIF(R$9:R$37,{"1C2";"C1C2";"C2";"C23";"S2C2";"C21";"C2C1";"3C2";"C2S2"}))/2+SUM(COUNTIFS(R$9:R$37,{"GR";"HC";"KT";"QA"}))+SUM(COUNTIFS(R$9:R$37,{"HC1";"HC2"}))/2+SUM(COUNTIF(R$9:R$37,{"3";"C13";"C23";"3C1";"3C2"}))+SUM(COUNTIFS(R$9:R$37,"HCKT"))</f>
        <v>16</v>
      </c>
      <c r="S38" s="33">
        <f t="array" ref="S38">SUM(COUNTIFS(S$9:S$37,{"1";"1C1";"1C2";"C21"}))+SUM(COUNTIF(S$9:S$37,"S1"))/2+SUM(COUNTIF(S$9:S$37,{"S2";"S22";"S2C1";"S2C2";"2S2";"C1S2";"C2S2"}))/2+SUM(COUNTIF(S$9:S$37,{"2";"2S2";"S22"}))+SUM(COUNTIF(S$9:S$37,{"1C1";"C1";"C13";"C1C2";"S2C1";"C11";"3C1";"C2C1";"C1S2"}))/2+SUM(COUNTIF(S$9:S$37,{"1C2";"C1C2";"C2";"C23";"S2C2";"C21";"C2C1";"3C2";"C2S2"}))/2+SUM(COUNTIFS(S$9:S$37,{"GR";"HC";"KT";"QA"}))+SUM(COUNTIFS(S$9:S$37,{"HC1";"HC2"}))/2+SUM(COUNTIF(S$9:S$37,{"3";"C13";"C23";"3C1";"3C2"}))+SUM(COUNTIFS(S$9:S$37,"HCKT"))</f>
        <v>16</v>
      </c>
      <c r="T38" s="33">
        <f t="array" ref="T38">SUM(COUNTIFS(T$9:T$37,{"1";"1C1";"1C2";"C21"}))+SUM(COUNTIF(T$9:T$37,"S1"))/2+SUM(COUNTIF(T$9:T$37,{"S2";"S22";"S2C1";"S2C2";"2S2";"C1S2";"C2S2"}))/2+SUM(COUNTIF(T$9:T$37,{"2";"2S2";"S22"}))+SUM(COUNTIF(T$9:T$37,{"1C1";"C1";"C13";"C1C2";"S2C1";"C11";"3C1";"C2C1";"C1S2"}))/2+SUM(COUNTIF(T$9:T$37,{"1C2";"C1C2";"C2";"C23";"S2C2";"C21";"C2C1";"3C2";"C2S2"}))/2+SUM(COUNTIFS(T$9:T$37,{"GR";"HC";"KT";"QA"}))+SUM(COUNTIFS(T$9:T$37,{"HC1";"HC2"}))/2+SUM(COUNTIF(T$9:T$37,{"3";"C13";"C23";"3C1";"3C2"}))+SUM(COUNTIFS(T$9:T$37,"HCKT"))</f>
        <v>15</v>
      </c>
      <c r="U38" s="33">
        <f t="array" ref="U38">SUM(COUNTIFS(U$9:U$37,{"1";"1C1";"1C2";"C21"}))+SUM(COUNTIF(U$9:U$37,"S1"))/2+SUM(COUNTIF(U$9:U$37,{"S2";"S22";"S2C1";"S2C2";"2S2";"C1S2";"C2S2"}))/2+SUM(COUNTIF(U$9:U$37,{"2";"2S2";"S22"}))+SUM(COUNTIF(U$9:U$37,{"1C1";"C1";"C13";"C1C2";"S2C1";"C11";"3C1";"C2C1";"C1S2"}))/2+SUM(COUNTIF(U$9:U$37,{"1C2";"C1C2";"C2";"C23";"S2C2";"C21";"C2C1";"3C2";"C2S2"}))/2+SUM(COUNTIFS(U$9:U$37,{"GR";"HC";"KT";"QA"}))+SUM(COUNTIFS(U$9:U$37,{"HC1";"HC2"}))/2+SUM(COUNTIF(U$9:U$37,{"3";"C13";"C23";"3C1";"3C2"}))+SUM(COUNTIFS(U$9:U$37,"HCKT"))</f>
        <v>17.5</v>
      </c>
      <c r="V38" s="33">
        <f t="array" ref="V38">SUM(COUNTIFS(V$9:V$37,{"1";"1C1";"1C2";"C21"}))+SUM(COUNTIF(V$9:V$37,"S1"))/2+SUM(COUNTIF(V$9:V$37,{"S2";"S22";"S2C1";"S2C2";"2S2";"C1S2";"C2S2"}))/2+SUM(COUNTIF(V$9:V$37,{"2";"2S2";"S22"}))+SUM(COUNTIF(V$9:V$37,{"1C1";"C1";"C13";"C1C2";"S2C1";"C11";"3C1";"C2C1";"C1S2"}))/2+SUM(COUNTIF(V$9:V$37,{"1C2";"C1C2";"C2";"C23";"S2C2";"C21";"C2C1";"3C2";"C2S2"}))/2+SUM(COUNTIFS(V$9:V$37,{"GR";"HC";"KT";"QA"}))+SUM(COUNTIFS(V$9:V$37,{"HC1";"HC2"}))/2+SUM(COUNTIF(V$9:V$37,{"3";"C13";"C23";"3C1";"3C2"}))+SUM(COUNTIFS(V$9:V$37,"HCKT"))</f>
        <v>13.5</v>
      </c>
      <c r="W38" s="33">
        <f t="array" ref="W38">SUM(COUNTIFS(W$9:W$37,{"1";"1C1";"1C2";"C21"}))+SUM(COUNTIF(W$9:W$37,"S1"))/2+SUM(COUNTIF(W$9:W$37,{"S2";"S22";"S2C1";"S2C2";"2S2";"C1S2";"C2S2"}))/2+SUM(COUNTIF(W$9:W$37,{"2";"2S2";"S22"}))+SUM(COUNTIF(W$9:W$37,{"1C1";"C1";"C13";"C1C2";"S2C1";"C11";"3C1";"C2C1";"C1S2"}))/2+SUM(COUNTIF(W$9:W$37,{"1C2";"C1C2";"C2";"C23";"S2C2";"C21";"C2C1";"3C2";"C2S2"}))/2+SUM(COUNTIFS(W$9:W$37,{"GR";"HC";"KT";"QA"}))+SUM(COUNTIFS(W$9:W$37,{"HC1";"HC2"}))/2+SUM(COUNTIF(W$9:W$37,{"3";"C13";"C23";"3C1";"3C2"}))+SUM(COUNTIFS(W$9:W$37,"HCKT"))</f>
        <v>10.5</v>
      </c>
      <c r="X38" s="33">
        <f t="array" ref="X38">SUM(COUNTIFS(X$9:X$37,{"1";"1C1";"1C2";"C21"}))+SUM(COUNTIF(X$9:X$37,"S1"))/2+SUM(COUNTIF(X$9:X$37,{"S2";"S22";"S2C1";"S2C2";"2S2";"C1S2";"C2S2"}))/2+SUM(COUNTIF(X$9:X$37,{"2";"2S2";"S22"}))+SUM(COUNTIF(X$9:X$37,{"1C1";"C1";"C13";"C1C2";"S2C1";"C11";"3C1";"C2C1";"C1S2"}))/2+SUM(COUNTIF(X$9:X$37,{"1C2";"C1C2";"C2";"C23";"S2C2";"C21";"C2C1";"3C2";"C2S2"}))/2+SUM(COUNTIFS(X$9:X$37,{"GR";"HC";"KT";"QA"}))+SUM(COUNTIFS(X$9:X$37,{"HC1";"HC2"}))/2+SUM(COUNTIF(X$9:X$37,{"3";"C13";"C23";"3C1";"3C2"}))+SUM(COUNTIFS(X$9:X$37,"HCKT"))</f>
        <v>16.5</v>
      </c>
      <c r="Y38" s="33">
        <f t="array" ref="Y38">SUM(COUNTIFS(Y$9:Y$37,{"1";"1C1";"1C2";"C21"}))+SUM(COUNTIF(Y$9:Y$37,"S1"))/2+SUM(COUNTIF(Y$9:Y$37,{"S2";"S22";"S2C1";"S2C2";"2S2";"C1S2";"C2S2"}))/2+SUM(COUNTIF(Y$9:Y$37,{"2";"2S2";"S22"}))+SUM(COUNTIF(Y$9:Y$37,{"1C1";"C1";"C13";"C1C2";"S2C1";"C11";"3C1";"C2C1";"C1S2"}))/2+SUM(COUNTIF(Y$9:Y$37,{"1C2";"C1C2";"C2";"C23";"S2C2";"C21";"C2C1";"3C2";"C2S2"}))/2+SUM(COUNTIFS(Y$9:Y$37,{"GR";"HC";"KT";"QA"}))+SUM(COUNTIFS(Y$9:Y$37,{"HC1";"HC2"}))/2+SUM(COUNTIF(Y$9:Y$37,{"3";"C13";"C23";"3C1";"3C2"}))+SUM(COUNTIFS(Y$9:Y$37,"HCKT"))</f>
        <v>16</v>
      </c>
      <c r="Z38" s="33">
        <f t="array" ref="Z38">SUM(COUNTIFS(Z$9:Z$37,{"1";"1C1";"1C2";"C21"}))+SUM(COUNTIF(Z$9:Z$37,"S1"))/2+SUM(COUNTIF(Z$9:Z$37,{"S2";"S22";"S2C1";"S2C2";"2S2";"C1S2";"C2S2"}))/2+SUM(COUNTIF(Z$9:Z$37,{"2";"2S2";"S22"}))+SUM(COUNTIF(Z$9:Z$37,{"1C1";"C1";"C13";"C1C2";"S2C1";"C11";"3C1";"C2C1";"C1S2"}))/2+SUM(COUNTIF(Z$9:Z$37,{"1C2";"C1C2";"C2";"C23";"S2C2";"C21";"C2C1";"3C2";"C2S2"}))/2+SUM(COUNTIFS(Z$9:Z$37,{"GR";"HC";"KT";"QA"}))+SUM(COUNTIFS(Z$9:Z$37,{"HC1";"HC2"}))/2+SUM(COUNTIF(Z$9:Z$37,{"3";"C13";"C23";"3C1";"3C2"}))+SUM(COUNTIFS(Z$9:Z$37,"HCKT"))</f>
        <v>15</v>
      </c>
      <c r="AA38" s="33">
        <f t="array" ref="AA38">SUM(COUNTIFS(AA$9:AA$37,{"1";"1C1";"1C2";"C21"}))+SUM(COUNTIF(AA$9:AA$37,"S1"))/2+SUM(COUNTIF(AA$9:AA$37,{"S2";"S22";"S2C1";"S2C2";"2S2";"C1S2";"C2S2"}))/2+SUM(COUNTIF(AA$9:AA$37,{"2";"2S2";"S22"}))+SUM(COUNTIF(AA$9:AA$37,{"1C1";"C1";"C13";"C1C2";"S2C1";"C11";"3C1";"C2C1";"C1S2"}))/2+SUM(COUNTIF(AA$9:AA$37,{"1C2";"C1C2";"C2";"C23";"S2C2";"C21";"C2C1";"3C2";"C2S2"}))/2+SUM(COUNTIFS(AA$9:AA$37,{"GR";"HC";"KT";"QA"}))+SUM(COUNTIFS(AA$9:AA$37,{"HC1";"HC2"}))/2+SUM(COUNTIF(AA$9:AA$37,{"3";"C13";"C23";"3C1";"3C2"}))+SUM(COUNTIFS(AA$9:AA$37,"HCKT"))</f>
        <v>18</v>
      </c>
      <c r="AB38" s="33">
        <f t="array" ref="AB38">SUM(COUNTIFS(AB$9:AB$37,{"1";"1C1";"1C2";"C21"}))+SUM(COUNTIF(AB$9:AB$37,"S1"))/2+SUM(COUNTIF(AB$9:AB$37,{"S2";"S22";"S2C1";"S2C2";"2S2";"C1S2";"C2S2"}))/2+SUM(COUNTIF(AB$9:AB$37,{"2";"2S2";"S22"}))+SUM(COUNTIF(AB$9:AB$37,{"1C1";"C1";"C13";"C1C2";"S2C1";"C11";"3C1";"C2C1";"C1S2"}))/2+SUM(COUNTIF(AB$9:AB$37,{"1C2";"C1C2";"C2";"C23";"S2C2";"C21";"C2C1";"3C2";"C2S2"}))/2+SUM(COUNTIFS(AB$9:AB$37,{"GR";"HC";"KT";"QA"}))+SUM(COUNTIFS(AB$9:AB$37,{"HC1";"HC2"}))/2+SUM(COUNTIF(AB$9:AB$37,{"3";"C13";"C23";"3C1";"3C2"}))+SUM(COUNTIFS(AB$9:AB$37,"HCKT"))</f>
        <v>16.5</v>
      </c>
      <c r="AC38" s="33">
        <f t="array" ref="AC38">SUM(COUNTIFS(AC$9:AC$37,{"1";"1C1";"1C2";"C21"}))+SUM(COUNTIF(AC$9:AC$37,"S1"))/2+SUM(COUNTIF(AC$9:AC$37,{"S2";"S22";"S2C1";"S2C2";"2S2";"C1S2";"C2S2"}))/2+SUM(COUNTIF(AC$9:AC$37,{"2";"2S2";"S22"}))+SUM(COUNTIF(AC$9:AC$37,{"1C1";"C1";"C13";"C1C2";"S2C1";"C11";"3C1";"C2C1";"C1S2"}))/2+SUM(COUNTIF(AC$9:AC$37,{"1C2";"C1C2";"C2";"C23";"S2C2";"C21";"C2C1";"3C2";"C2S2"}))/2+SUM(COUNTIFS(AC$9:AC$37,{"GR";"HC";"KT";"QA"}))+SUM(COUNTIFS(AC$9:AC$37,{"HC1";"HC2"}))/2+SUM(COUNTIF(AC$9:AC$37,{"3";"C13";"C23";"3C1";"3C2"}))+SUM(COUNTIFS(AC$9:AC$37,"HCKT"))</f>
        <v>12</v>
      </c>
      <c r="AD38" s="33">
        <f t="array" ref="AD38">SUM(COUNTIFS(AD$9:AD$37,{"1";"1C1";"1C2";"C21"}))+SUM(COUNTIF(AD$9:AD$37,"S1"))/2+SUM(COUNTIF(AD$9:AD$37,{"S2";"S22";"S2C1";"S2C2";"2S2";"C1S2";"C2S2"}))/2+SUM(COUNTIF(AD$9:AD$37,{"2";"2S2";"S22"}))+SUM(COUNTIF(AD$9:AD$37,{"1C1";"C1";"C13";"C1C2";"S2C1";"C11";"3C1";"C2C1";"C1S2"}))/2+SUM(COUNTIF(AD$9:AD$37,{"1C2";"C1C2";"C2";"C23";"S2C2";"C21";"C2C1";"3C2";"C2S2"}))/2+SUM(COUNTIFS(AD$9:AD$37,{"GR";"HC";"KT";"QA"}))+SUM(COUNTIFS(AD$9:AD$37,{"HC1";"HC2"}))/2+SUM(COUNTIF(AD$9:AD$37,{"3";"C13";"C23";"3C1";"3C2"}))+SUM(COUNTIFS(AD$9:AD$37,"HCKT"))</f>
        <v>12.5</v>
      </c>
      <c r="AE38" s="33">
        <f t="array" ref="AE38">SUM(COUNTIFS(AE$9:AE$37,{"1";"1C1";"1C2";"C21"}))+SUM(COUNTIF(AE$9:AE$37,"S1"))/2+SUM(COUNTIF(AE$9:AE$37,{"S2";"S22";"S2C1";"S2C2";"2S2";"C1S2";"C2S2"}))/2+SUM(COUNTIF(AE$9:AE$37,{"2";"2S2";"S22"}))+SUM(COUNTIF(AE$9:AE$37,{"1C1";"C1";"C13";"C1C2";"S2C1";"C11";"3C1";"C2C1";"C1S2"}))/2+SUM(COUNTIF(AE$9:AE$37,{"1C2";"C1C2";"C2";"C23";"S2C2";"C21";"C2C1";"3C2";"C2S2"}))/2+SUM(COUNTIFS(AE$9:AE$37,{"GR";"HC";"KT";"QA"}))+SUM(COUNTIFS(AE$9:AE$37,{"HC1";"HC2"}))/2+SUM(COUNTIF(AE$9:AE$37,{"3";"C13";"C23";"3C1";"3C2"}))+SUM(COUNTIFS(AE$9:AE$37,"HCKT"))</f>
        <v>0</v>
      </c>
      <c r="AF38" s="33">
        <f t="array" ref="AF38">SUM(COUNTIFS(AF$9:AF$37,{"1";"1C1";"1C2";"C21"}))+SUM(COUNTIF(AF$9:AF$37,"S1"))/2+SUM(COUNTIF(AF$9:AF$37,{"S2";"S22";"S2C1";"S2C2";"2S2";"C1S2";"C2S2"}))/2+SUM(COUNTIF(AF$9:AF$37,{"2";"2S2";"S22"}))+SUM(COUNTIF(AF$9:AF$37,{"1C1";"C1";"C13";"C1C2";"S2C1";"C11";"3C1";"C2C1";"C1S2"}))/2+SUM(COUNTIF(AF$9:AF$37,{"1C2";"C1C2";"C2";"C23";"S2C2";"C21";"C2C1";"3C2";"C2S2"}))/2+SUM(COUNTIFS(AF$9:AF$37,{"GR";"HC";"KT";"QA"}))+SUM(COUNTIFS(AF$9:AF$37,{"HC1";"HC2"}))/2+SUM(COUNTIF(AF$9:AF$37,{"3";"C13";"C23";"3C1";"3C2"}))+SUM(COUNTIFS(AF$9:AF$37,"HCKT"))</f>
        <v>0</v>
      </c>
      <c r="AG38" s="33">
        <f t="array" ref="AG38">SUM(COUNTIFS(AG$9:AG$37,{"1";"1C1";"1C2";"C21"}))+SUM(COUNTIF(AG$9:AG$37,"S1"))/2+SUM(COUNTIF(AG$9:AG$37,{"S2";"S22";"S2C1";"S2C2";"2S2";"C1S2";"C2S2"}))/2+SUM(COUNTIF(AG$9:AG$37,{"2";"2S2";"S22"}))+SUM(COUNTIF(AG$9:AG$37,{"1C1";"C1";"C13";"C1C2";"S2C1";"C11";"3C1";"C2C1";"C1S2"}))/2+SUM(COUNTIF(AG$9:AG$37,{"1C2";"C1C2";"C2";"C23";"S2C2";"C21";"C2C1";"3C2";"C2S2"}))/2+SUM(COUNTIFS(AG$9:AG$37,{"GR";"HC";"KT";"QA"}))+SUM(COUNTIFS(AG$9:AG$37,{"HC1";"HC2"}))/2+SUM(COUNTIF(AG$9:AG$37,{"3";"C13";"C23";"3C1";"3C2"}))+SUM(COUNTIFS(AG$9:AG$37,"HCKT"))</f>
        <v>0</v>
      </c>
      <c r="AH38" s="33">
        <f t="array" ref="AH38">SUM(COUNTIFS(AH$9:AH$37,{"1";"1C1";"1C2";"C21"}))+SUM(COUNTIF(AH$9:AH$37,"S1"))/2+SUM(COUNTIF(AH$9:AH$37,{"S2";"S22";"S2C1";"S2C2";"2S2";"C1S2";"C2S2"}))/2+SUM(COUNTIF(AH$9:AH$37,{"2";"2S2";"S22"}))+SUM(COUNTIF(AH$9:AH$37,{"1C1";"C1";"C13";"C1C2";"S2C1";"C11";"3C1";"C2C1";"C1S2"}))/2+SUM(COUNTIF(AH$9:AH$37,{"1C2";"C1C2";"C2";"C23";"S2C2";"C21";"C2C1";"3C2";"C2S2"}))/2+SUM(COUNTIFS(AH$9:AH$37,{"GR";"HC";"KT";"QA"}))+SUM(COUNTIFS(AH$9:AH$37,{"HC1";"HC2"}))/2+SUM(COUNTIF(AH$9:AH$37,{"3";"C13";"C23";"3C1";"3C2"}))+SUM(COUNTIFS(AH$9:AH$37,"HCKT"))</f>
        <v>0</v>
      </c>
      <c r="AI38" s="33">
        <f t="array" ref="AI38">SUM(COUNTIFS(AI$9:AI$37,{"1";"1C1";"1C2";"C21"}))+SUM(COUNTIF(AI$9:AI$37,"S1"))/2+SUM(COUNTIF(AI$9:AI$37,{"S2";"S22";"S2C1";"S2C2";"2S2";"C1S2";"C2S2"}))/2+SUM(COUNTIF(AI$9:AI$37,{"2";"2S2";"S22"}))+SUM(COUNTIF(AI$9:AI$37,{"1C1";"C1";"C13";"C1C2";"S2C1";"C11";"3C1";"C2C1";"C1S2"}))/2+SUM(COUNTIF(AI$9:AI$37,{"1C2";"C1C2";"C2";"C23";"S2C2";"C21";"C2C1";"3C2";"C2S2"}))/2+SUM(COUNTIFS(AI$9:AI$37,{"GR";"HC";"KT";"QA"}))+SUM(COUNTIFS(AI$9:AI$37,{"HC1";"HC2"}))/2+SUM(COUNTIF(AI$9:AI$37,{"3";"C13";"C23";"3C1";"3C2"}))+SUM(COUNTIFS(AI$9:AI$37,"HCKT"))</f>
        <v>0</v>
      </c>
      <c r="AJ38" s="34">
        <f t="shared" ref="AJ38:BI38" si="8">SUM(AJ9:AJ37)</f>
        <v>24</v>
      </c>
      <c r="AK38" s="34">
        <f t="shared" si="8"/>
        <v>0</v>
      </c>
      <c r="AL38" s="34">
        <f t="shared" si="8"/>
        <v>66</v>
      </c>
      <c r="AM38" s="34">
        <f t="shared" si="8"/>
        <v>90</v>
      </c>
      <c r="AN38" s="34">
        <f t="shared" si="8"/>
        <v>130</v>
      </c>
      <c r="AO38" s="34">
        <f t="shared" si="8"/>
        <v>24.5</v>
      </c>
      <c r="AP38" s="34">
        <f t="shared" si="8"/>
        <v>13</v>
      </c>
      <c r="AQ38" s="34">
        <f t="shared" si="8"/>
        <v>167.5</v>
      </c>
      <c r="AR38" s="34">
        <f t="shared" si="8"/>
        <v>269</v>
      </c>
      <c r="AS38" s="34">
        <f t="shared" si="8"/>
        <v>526.5</v>
      </c>
      <c r="AT38" s="34">
        <f t="shared" si="8"/>
        <v>39</v>
      </c>
      <c r="AU38" s="34">
        <f t="shared" si="8"/>
        <v>0</v>
      </c>
      <c r="AV38" s="34">
        <f t="shared" si="8"/>
        <v>565.5</v>
      </c>
      <c r="AW38" s="34">
        <f t="shared" si="8"/>
        <v>5</v>
      </c>
      <c r="AX38" s="34">
        <f t="shared" si="8"/>
        <v>0</v>
      </c>
      <c r="AY38" s="34">
        <f t="shared" si="8"/>
        <v>7.5</v>
      </c>
      <c r="AZ38" s="34">
        <f t="shared" si="8"/>
        <v>12.5</v>
      </c>
      <c r="BA38" s="34">
        <f t="shared" si="8"/>
        <v>21</v>
      </c>
      <c r="BB38" s="34">
        <f t="shared" si="8"/>
        <v>3</v>
      </c>
      <c r="BC38" s="34">
        <f t="shared" si="8"/>
        <v>5.5</v>
      </c>
      <c r="BD38" s="34">
        <f t="shared" si="8"/>
        <v>29.5</v>
      </c>
      <c r="BE38" s="34">
        <f t="shared" si="8"/>
        <v>9</v>
      </c>
      <c r="BF38" s="34">
        <f t="shared" si="8"/>
        <v>51</v>
      </c>
      <c r="BG38" s="34">
        <f t="shared" si="8"/>
        <v>11</v>
      </c>
      <c r="BH38" s="34">
        <f t="shared" si="8"/>
        <v>0</v>
      </c>
      <c r="BI38" s="34">
        <f t="shared" si="8"/>
        <v>62</v>
      </c>
      <c r="BJ38" s="35"/>
      <c r="BK38" s="36"/>
    </row>
    <row r="39" spans="1:63" ht="15.75" customHeight="1">
      <c r="A39" s="3"/>
      <c r="B39" s="3"/>
      <c r="C39" s="3"/>
      <c r="D39" s="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6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4"/>
    </row>
    <row r="40" spans="1:63" ht="15.75" customHeight="1">
      <c r="A40" s="3"/>
      <c r="B40" s="3"/>
      <c r="C40" s="3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6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4"/>
    </row>
    <row r="41" spans="1:63" ht="31.5" customHeight="1">
      <c r="A41" s="38"/>
      <c r="B41" s="38"/>
      <c r="C41" s="39"/>
      <c r="D41" s="40" t="s">
        <v>228</v>
      </c>
      <c r="E41" s="39">
        <v>1</v>
      </c>
      <c r="F41" s="39">
        <v>2</v>
      </c>
      <c r="G41" s="39">
        <v>3</v>
      </c>
      <c r="H41" s="39">
        <v>4</v>
      </c>
      <c r="I41" s="39">
        <v>5</v>
      </c>
      <c r="J41" s="39">
        <v>6</v>
      </c>
      <c r="K41" s="39">
        <v>7</v>
      </c>
      <c r="L41" s="39">
        <v>8</v>
      </c>
      <c r="M41" s="39">
        <v>9</v>
      </c>
      <c r="N41" s="39">
        <v>10</v>
      </c>
      <c r="O41" s="39">
        <v>11</v>
      </c>
      <c r="P41" s="39">
        <v>12</v>
      </c>
      <c r="Q41" s="39">
        <v>13</v>
      </c>
      <c r="R41" s="39">
        <v>14</v>
      </c>
      <c r="S41" s="39">
        <v>15</v>
      </c>
      <c r="T41" s="39">
        <v>16</v>
      </c>
      <c r="U41" s="39">
        <v>17</v>
      </c>
      <c r="V41" s="39">
        <v>18</v>
      </c>
      <c r="W41" s="39">
        <v>19</v>
      </c>
      <c r="X41" s="39">
        <v>20</v>
      </c>
      <c r="Y41" s="39">
        <v>21</v>
      </c>
      <c r="Z41" s="39">
        <v>22</v>
      </c>
      <c r="AA41" s="39">
        <v>23</v>
      </c>
      <c r="AB41" s="39">
        <v>24</v>
      </c>
      <c r="AC41" s="39">
        <v>25</v>
      </c>
      <c r="AD41" s="39">
        <v>26</v>
      </c>
      <c r="AE41" s="39">
        <v>27</v>
      </c>
      <c r="AF41" s="39">
        <v>28</v>
      </c>
      <c r="AG41" s="39">
        <v>29</v>
      </c>
      <c r="AH41" s="39">
        <v>30</v>
      </c>
      <c r="AI41" s="41">
        <v>31</v>
      </c>
      <c r="AJ41" s="41" t="s">
        <v>78</v>
      </c>
      <c r="AK41" s="42"/>
      <c r="AL41" s="43"/>
      <c r="AM41" s="44"/>
      <c r="AN41" s="43"/>
      <c r="AO41" s="43"/>
      <c r="AP41" s="43"/>
      <c r="AQ41" s="45"/>
      <c r="AR41" s="43"/>
      <c r="AS41" s="45"/>
      <c r="AT41" s="43"/>
      <c r="AU41" s="46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6"/>
    </row>
    <row r="42" spans="1:63" ht="14.25" customHeight="1">
      <c r="A42" s="3"/>
      <c r="B42" s="3"/>
      <c r="C42" s="330" t="s">
        <v>229</v>
      </c>
      <c r="D42" s="23" t="s">
        <v>12</v>
      </c>
      <c r="E42" s="26">
        <f t="array" ref="E42">SUM(COUNTIFS(E$9:E$37,{"1";"1, C1";"1, C2";"C2, 1";"C1, 1"}))</f>
        <v>0</v>
      </c>
      <c r="F42" s="26">
        <f t="array" ref="F42">SUM(COUNTIFS(F$9:F$37,{"1";"1, C1";"1, C2";"C2, 1";"C1, 1"}))</f>
        <v>1</v>
      </c>
      <c r="G42" s="26">
        <f t="array" ref="G42">SUM(COUNTIFS(G$9:G$37,{"1";"1, C1";"1, C2";"C2, 1";"C1, 1"}))</f>
        <v>1</v>
      </c>
      <c r="H42" s="26">
        <f t="array" ref="H42">SUM(COUNTIFS(H$9:H$37,{"1";"1, C1";"1, C2";"C2, 1";"C1, 1"}))</f>
        <v>1</v>
      </c>
      <c r="I42" s="26">
        <f t="array" ref="I42">SUM(COUNTIFS(I$9:I$37,{"1";"1, C1";"1, C2";"C2, 1";"C1, 1"}))</f>
        <v>1</v>
      </c>
      <c r="J42" s="26">
        <f t="array" ref="J42">SUM(COUNTIFS(J$9:J$37,{"1";"1, C1";"1, C2";"C2, 1";"C1, 1"}))</f>
        <v>1</v>
      </c>
      <c r="K42" s="26">
        <f t="array" ref="K42">SUM(COUNTIFS(K$9:K$37,{"1";"1, C1";"1, C2";"C2, 1";"C1, 1"}))</f>
        <v>1</v>
      </c>
      <c r="L42" s="26">
        <f t="array" ref="L42">SUM(COUNTIFS(L$9:L$37,{"1";"1, C1";"1, C2";"C2, 1";"C1, 1"}))</f>
        <v>1</v>
      </c>
      <c r="M42" s="26">
        <f t="array" ref="M42">SUM(COUNTIFS(M$9:M$37,{"1";"1, C1";"1, C2";"C2, 1";"C1, 1"}))</f>
        <v>1</v>
      </c>
      <c r="N42" s="26">
        <f t="array" ref="N42">SUM(COUNTIFS(N$9:N$37,{"1";"1, C1";"1, C2";"C2, 1";"C1, 1"}))</f>
        <v>1</v>
      </c>
      <c r="O42" s="26">
        <f t="array" ref="O42">SUM(COUNTIFS(O$9:O$37,{"1";"1, C1";"1, C2";"C2, 1";"C1, 1"}))</f>
        <v>1</v>
      </c>
      <c r="P42" s="26">
        <f t="array" ref="P42">SUM(COUNTIFS(P$9:P$37,{"1";"1, C1";"1, C2";"C2, 1";"C1, 1"}))</f>
        <v>1</v>
      </c>
      <c r="Q42" s="26">
        <f t="array" ref="Q42">SUM(COUNTIFS(Q$9:Q$37,{"1";"1, C1";"1, C2";"C2, 1";"C1, 1"}))</f>
        <v>1</v>
      </c>
      <c r="R42" s="26">
        <f t="array" ref="R42">SUM(COUNTIFS(R$9:R$37,{"1";"1, C1";"1, C2";"C2, 1";"C1, 1"}))</f>
        <v>1</v>
      </c>
      <c r="S42" s="26">
        <f t="array" ref="S42">SUM(COUNTIFS(S$9:S$37,{"1";"1, C1";"1, C2";"C2, 1";"C1, 1"}))</f>
        <v>1</v>
      </c>
      <c r="T42" s="26">
        <f t="array" ref="T42">SUM(COUNTIFS(T$9:T$37,{"1";"1, C1";"1, C2";"C2, 1";"C1, 1"}))</f>
        <v>1</v>
      </c>
      <c r="U42" s="26">
        <f t="array" ref="U42">SUM(COUNTIFS(U$9:U$37,{"1";"1, C1";"1, C2";"C2, 1";"C1, 1"}))</f>
        <v>1</v>
      </c>
      <c r="V42" s="26">
        <f t="array" ref="V42">SUM(COUNTIFS(V$9:V$37,{"1";"1, C1";"1, C2";"C2, 1";"C1, 1"}))</f>
        <v>1</v>
      </c>
      <c r="W42" s="26">
        <f t="array" ref="W42">SUM(COUNTIFS(W$9:W$37,{"1";"1, C1";"1, C2";"C2, 1";"C1, 1"}))</f>
        <v>1</v>
      </c>
      <c r="X42" s="26">
        <f t="array" ref="X42">SUM(COUNTIFS(X$9:X$37,{"1";"1, C1";"1, C2";"C2, 1";"C1, 1"}))</f>
        <v>1</v>
      </c>
      <c r="Y42" s="26">
        <f t="array" ref="Y42">SUM(COUNTIFS(Y$9:Y$37,{"1";"1, C1";"1, C2";"C2, 1";"C1, 1"}))</f>
        <v>1</v>
      </c>
      <c r="Z42" s="26">
        <f t="array" ref="Z42">SUM(COUNTIFS(Z$9:Z$37,{"1";"1, C1";"1, C2";"C2, 1";"C1, 1"}))</f>
        <v>1</v>
      </c>
      <c r="AA42" s="26">
        <f t="array" ref="AA42">SUM(COUNTIFS(AA$9:AA$37,{"1";"1, C1";"1, C2";"C2, 1";"C1, 1"}))</f>
        <v>1</v>
      </c>
      <c r="AB42" s="26">
        <f t="array" ref="AB42">SUM(COUNTIFS(AB$9:AB$37,{"1";"1, C1";"1, C2";"C2, 1";"C1, 1"}))</f>
        <v>1</v>
      </c>
      <c r="AC42" s="26">
        <f t="array" ref="AC42">SUM(COUNTIFS(AC$9:AC$37,{"1";"1, C1";"1, C2";"C2, 1";"C1, 1"}))</f>
        <v>1</v>
      </c>
      <c r="AD42" s="26">
        <f t="array" ref="AD42">SUM(COUNTIFS(AD$9:AD$37,{"1";"1, C1";"1, C2";"C2, 1";"C1, 1"}))</f>
        <v>0</v>
      </c>
      <c r="AE42" s="26">
        <f t="array" ref="AE42">SUM(COUNTIFS(AE$9:AE$37,{"1";"1, C1";"1, C2";"C2, 1";"C1, 1"}))</f>
        <v>0</v>
      </c>
      <c r="AF42" s="26">
        <f t="array" ref="AF42">SUM(COUNTIFS(AF$9:AF$37,{"1";"1, C1";"1, C2";"C2, 1";"C1, 1"}))</f>
        <v>0</v>
      </c>
      <c r="AG42" s="26">
        <f t="array" ref="AG42">SUM(COUNTIFS(AG$9:AG$37,{"1";"1, C1";"1, C2";"C2, 1";"C1, 1"}))</f>
        <v>0</v>
      </c>
      <c r="AH42" s="26">
        <f t="array" ref="AH42">SUM(COUNTIFS(AH$9:AH$37,{"1";"1, C1";"1, C2";"C2, 1";"C1, 1"}))</f>
        <v>0</v>
      </c>
      <c r="AI42" s="26">
        <f t="array" ref="AI42">SUM(COUNTIFS(AI$9:AI$37,{"1";"1, C1";"1, C2";"C2, 1";"C1, 1"}))</f>
        <v>0</v>
      </c>
      <c r="AJ42" s="27">
        <f t="shared" ref="AJ42:AJ67" si="9">SUM(E42:AI42)</f>
        <v>24</v>
      </c>
      <c r="AK42" s="7"/>
      <c r="AL42" s="7"/>
      <c r="AM42" s="47"/>
      <c r="AN42" s="7"/>
      <c r="AO42" s="7"/>
      <c r="AP42" s="7"/>
      <c r="AQ42" s="47"/>
      <c r="AR42" s="7"/>
      <c r="AS42" s="47"/>
      <c r="AT42" s="7"/>
      <c r="AU42" s="4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"/>
    </row>
    <row r="43" spans="1:63" ht="15.75" customHeight="1">
      <c r="A43" s="3"/>
      <c r="B43" s="3"/>
      <c r="C43" s="331"/>
      <c r="D43" s="23" t="s">
        <v>13</v>
      </c>
      <c r="E43" s="26">
        <f t="array" ref="E43">SUM(COUNTIF(E$9:E$37,"S1"))/2</f>
        <v>0</v>
      </c>
      <c r="F43" s="26">
        <f t="array" ref="F43">SUM(COUNTIF(F$9:F$37,"S1"))/2</f>
        <v>0</v>
      </c>
      <c r="G43" s="26">
        <f t="array" ref="G43">SUM(COUNTIF(G$9:G$37,"S1"))/2</f>
        <v>0</v>
      </c>
      <c r="H43" s="26">
        <f t="array" ref="H43">SUM(COUNTIF(H$9:H$37,"S1"))/2</f>
        <v>0</v>
      </c>
      <c r="I43" s="26">
        <f t="array" ref="I43">SUM(COUNTIF(I$9:I$37,"S1"))/2</f>
        <v>0</v>
      </c>
      <c r="J43" s="26">
        <f t="array" ref="J43">SUM(COUNTIF(J$9:J$37,"S1"))/2</f>
        <v>0</v>
      </c>
      <c r="K43" s="26">
        <f t="array" ref="K43">SUM(COUNTIF(K$9:K$37,"S1"))/2</f>
        <v>0</v>
      </c>
      <c r="L43" s="26">
        <f t="array" ref="L43">SUM(COUNTIF(L$9:L$37,"S1"))/2</f>
        <v>0</v>
      </c>
      <c r="M43" s="26">
        <f t="array" ref="M43">SUM(COUNTIF(M$9:M$37,"S1"))/2</f>
        <v>0</v>
      </c>
      <c r="N43" s="26">
        <f t="array" ref="N43">SUM(COUNTIF(N$9:N$37,"S1"))/2</f>
        <v>0</v>
      </c>
      <c r="O43" s="26">
        <f t="array" ref="O43">SUM(COUNTIF(O$9:O$37,"S1"))/2</f>
        <v>0</v>
      </c>
      <c r="P43" s="26">
        <f t="array" ref="P43">SUM(COUNTIF(P$9:P$37,"S1"))/2</f>
        <v>0</v>
      </c>
      <c r="Q43" s="26">
        <f t="array" ref="Q43">SUM(COUNTIF(Q$9:Q$37,"S1"))/2</f>
        <v>0</v>
      </c>
      <c r="R43" s="26">
        <f t="array" ref="R43">SUM(COUNTIF(R$9:R$37,"S1"))/2</f>
        <v>0</v>
      </c>
      <c r="S43" s="26">
        <f t="array" ref="S43">SUM(COUNTIF(S$9:S$37,"S1"))/2</f>
        <v>0</v>
      </c>
      <c r="T43" s="26">
        <f t="array" ref="T43">SUM(COUNTIF(T$9:T$37,"S1"))/2</f>
        <v>0</v>
      </c>
      <c r="U43" s="26">
        <f t="array" ref="U43">SUM(COUNTIF(U$9:U$37,"S1"))/2</f>
        <v>0</v>
      </c>
      <c r="V43" s="26">
        <f t="array" ref="V43">SUM(COUNTIF(V$9:V$37,"S1"))/2</f>
        <v>0</v>
      </c>
      <c r="W43" s="26">
        <f t="array" ref="W43">SUM(COUNTIF(W$9:W$37,"S1"))/2</f>
        <v>0</v>
      </c>
      <c r="X43" s="26">
        <f t="array" ref="X43">SUM(COUNTIF(X$9:X$37,"S1"))/2</f>
        <v>0</v>
      </c>
      <c r="Y43" s="26">
        <f t="array" ref="Y43">SUM(COUNTIF(Y$9:Y$37,"S1"))/2</f>
        <v>0</v>
      </c>
      <c r="Z43" s="26">
        <f t="array" ref="Z43">SUM(COUNTIF(Z$9:Z$37,"S1"))/2</f>
        <v>0</v>
      </c>
      <c r="AA43" s="26">
        <f t="array" ref="AA43">SUM(COUNTIF(AA$9:AA$37,"S1"))/2</f>
        <v>0</v>
      </c>
      <c r="AB43" s="26">
        <f t="array" ref="AB43">SUM(COUNTIF(AB$9:AB$37,"S1"))/2</f>
        <v>0</v>
      </c>
      <c r="AC43" s="26">
        <f t="array" ref="AC43">SUM(COUNTIF(AC$9:AC$37,"S1"))/2</f>
        <v>0</v>
      </c>
      <c r="AD43" s="26">
        <f t="array" ref="AD43">SUM(COUNTIF(AD$9:AD$37,"S1"))/2</f>
        <v>0</v>
      </c>
      <c r="AE43" s="26">
        <f t="array" ref="AE43">SUM(COUNTIF(AE$9:AE$37,"S1"))/2</f>
        <v>0</v>
      </c>
      <c r="AF43" s="26">
        <f t="array" ref="AF43">SUM(COUNTIF(AF$9:AF$37,"S1"))/2</f>
        <v>0</v>
      </c>
      <c r="AG43" s="26">
        <f t="array" ref="AG43">SUM(COUNTIF(AG$9:AG$37,"S1"))/2</f>
        <v>0</v>
      </c>
      <c r="AH43" s="26">
        <f t="array" ref="AH43">SUM(COUNTIF(AH$9:AH$37,"S1"))/2</f>
        <v>0</v>
      </c>
      <c r="AI43" s="26">
        <f t="array" ref="AI43">SUM(COUNTIF(AI$9:AI$37,"S1"))/2</f>
        <v>0</v>
      </c>
      <c r="AJ43" s="27">
        <f t="shared" si="9"/>
        <v>0</v>
      </c>
      <c r="AK43" s="7"/>
      <c r="AL43" s="7"/>
      <c r="AM43" s="47"/>
      <c r="AN43" s="7"/>
      <c r="AO43" s="7"/>
      <c r="AP43" s="7"/>
      <c r="AQ43" s="47"/>
      <c r="AR43" s="7"/>
      <c r="AS43" s="47"/>
      <c r="AT43" s="7"/>
      <c r="AU43" s="4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"/>
    </row>
    <row r="44" spans="1:63" ht="15.75" customHeight="1">
      <c r="A44" s="3"/>
      <c r="B44" s="3"/>
      <c r="C44" s="331"/>
      <c r="D44" s="23" t="s">
        <v>14</v>
      </c>
      <c r="E44" s="26">
        <f t="array" ref="E44">SUM(COUNTIF(E$9:E$37,{"S2";"S2, 2";"S2, C1";"S2, C2";"2, S2";"C1, S2";"C2, S2";"3, S2";"S2, 3"}))/2</f>
        <v>0</v>
      </c>
      <c r="F44" s="26">
        <f t="array" ref="F44">SUM(COUNTIF(F$9:F$37,{"S2";"S2, 2";"S2, C1";"S2, C2";"2, S2";"C1, S2";"C2, S2";"3, S2";"S2, 3"}))/2</f>
        <v>3.5</v>
      </c>
      <c r="G44" s="26">
        <f t="array" ref="G44">SUM(COUNTIF(G$9:G$37,{"S2";"S2, 2";"S2, C1";"S2, C2";"2, S2";"C1, S2";"C2, S2";"3, S2";"S2, 3"}))/2</f>
        <v>3</v>
      </c>
      <c r="H44" s="26">
        <f t="array" ref="H44">SUM(COUNTIF(H$9:H$37,{"S2";"S2, 2";"S2, C1";"S2, C2";"2, S2";"C1, S2";"C2, S2";"3, S2";"S2, 3"}))/2</f>
        <v>3</v>
      </c>
      <c r="I44" s="26">
        <f t="array" ref="I44">SUM(COUNTIF(I$9:I$37,{"S2";"S2, 2";"S2, C1";"S2, C2";"2, S2";"C1, S2";"C2, S2";"3, S2";"S2, 3"}))/2</f>
        <v>3</v>
      </c>
      <c r="J44" s="26">
        <f t="array" ref="J44">SUM(COUNTIF(J$9:J$37,{"S2";"S2, 2";"S2, C1";"S2, C2";"2, S2";"C1, S2";"C2, S2";"3, S2";"S2, 3"}))/2</f>
        <v>3.5</v>
      </c>
      <c r="K44" s="26">
        <f t="array" ref="K44">SUM(COUNTIF(K$9:K$37,{"S2";"S2, 2";"S2, C1";"S2, C2";"2, S2";"C1, S2";"C2, S2";"3, S2";"S2, 3"}))/2</f>
        <v>3.5</v>
      </c>
      <c r="L44" s="26">
        <f t="array" ref="L44">SUM(COUNTIF(L$9:L$37,{"S2";"S2, 2";"S2, C1";"S2, C2";"2, S2";"C1, S2";"C2, S2";"3, S2";"S2, 3"}))/2</f>
        <v>4</v>
      </c>
      <c r="M44" s="26">
        <f t="array" ref="M44">SUM(COUNTIF(M$9:M$37,{"S2";"S2, 2";"S2, C1";"S2, C2";"2, S2";"C1, S2";"C2, S2";"3, S2";"S2, 3"}))/2</f>
        <v>4</v>
      </c>
      <c r="N44" s="26">
        <f t="array" ref="N44">SUM(COUNTIF(N$9:N$37,{"S2";"S2, 2";"S2, C1";"S2, C2";"2, S2";"C1, S2";"C2, S2";"3, S2";"S2, 3"}))/2</f>
        <v>3</v>
      </c>
      <c r="O44" s="26">
        <f t="array" ref="O44">SUM(COUNTIF(O$9:O$37,{"S2";"S2, 2";"S2, C1";"S2, C2";"2, S2";"C1, S2";"C2, S2";"3, S2";"S2, 3"}))/2</f>
        <v>2</v>
      </c>
      <c r="P44" s="26">
        <f t="array" ref="P44">SUM(COUNTIF(P$9:P$37,{"S2";"S2, 2";"S2, C1";"S2, C2";"2, S2";"C1, S2";"C2, S2";"3, S2";"S2, 3"}))/2</f>
        <v>1.5</v>
      </c>
      <c r="Q44" s="26">
        <f t="array" ref="Q44">SUM(COUNTIF(Q$9:Q$37,{"S2";"S2, 2";"S2, C1";"S2, C2";"2, S2";"C1, S2";"C2, S2";"3, S2";"S2, 3"}))/2</f>
        <v>2.5</v>
      </c>
      <c r="R44" s="26">
        <f t="array" ref="R44">SUM(COUNTIF(R$9:R$37,{"S2";"S2, 2";"S2, C1";"S2, C2";"2, S2";"C1, S2";"C2, S2";"3, S2";"S2, 3"}))/2</f>
        <v>2.5</v>
      </c>
      <c r="S44" s="26">
        <f t="array" ref="S44">SUM(COUNTIF(S$9:S$37,{"S2";"S2, 2";"S2, C1";"S2, C2";"2, S2";"C1, S2";"C2, S2";"3, S2";"S2, 3"}))/2</f>
        <v>3</v>
      </c>
      <c r="T44" s="26">
        <f t="array" ref="T44">SUM(COUNTIF(T$9:T$37,{"S2";"S2, 2";"S2, C1";"S2, C2";"2, S2";"C1, S2";"C2, S2";"3, S2";"S2, 3"}))/2</f>
        <v>3</v>
      </c>
      <c r="U44" s="26">
        <f t="array" ref="U44">SUM(COUNTIF(U$9:U$37,{"S2";"S2, 2";"S2, C1";"S2, C2";"2, S2";"C1, S2";"C2, S2";"3, S2";"S2, 3"}))/2</f>
        <v>2</v>
      </c>
      <c r="V44" s="26">
        <f t="array" ref="V44">SUM(COUNTIF(V$9:V$37,{"S2";"S2, 2";"S2, C1";"S2, C2";"2, S2";"C1, S2";"C2, S2";"3, S2";"S2, 3"}))/2</f>
        <v>2</v>
      </c>
      <c r="W44" s="26">
        <f t="array" ref="W44">SUM(COUNTIF(W$9:W$37,{"S2";"S2, 2";"S2, C1";"S2, C2";"2, S2";"C1, S2";"C2, S2";"3, S2";"S2, 3"}))/2</f>
        <v>1.5</v>
      </c>
      <c r="X44" s="26">
        <f t="array" ref="X44">SUM(COUNTIF(X$9:X$37,{"S2";"S2, 2";"S2, C1";"S2, C2";"2, S2";"C1, S2";"C2, S2";"3, S2";"S2, 3"}))/2</f>
        <v>2.5</v>
      </c>
      <c r="Y44" s="26">
        <f t="array" ref="Y44">SUM(COUNTIF(Y$9:Y$37,{"S2";"S2, 2";"S2, C1";"S2, C2";"2, S2";"C1, S2";"C2, S2";"3, S2";"S2, 3"}))/2</f>
        <v>3</v>
      </c>
      <c r="Z44" s="26">
        <f t="array" ref="Z44">SUM(COUNTIF(Z$9:Z$37,{"S2";"S2, 2";"S2, C1";"S2, C2";"2, S2";"C1, S2";"C2, S2";"3, S2";"S2, 3"}))/2</f>
        <v>2.5</v>
      </c>
      <c r="AA44" s="26">
        <f t="array" ref="AA44">SUM(COUNTIF(AA$9:AA$37,{"S2";"S2, 2";"S2, C1";"S2, C2";"2, S2";"C1, S2";"C2, S2";"3, S2";"S2, 3"}))/2</f>
        <v>2.5</v>
      </c>
      <c r="AB44" s="26">
        <f t="array" ref="AB44">SUM(COUNTIF(AB$9:AB$37,{"S2";"S2, 2";"S2, C1";"S2, C2";"2, S2";"C1, S2";"C2, S2";"3, S2";"S2, 3"}))/2</f>
        <v>2</v>
      </c>
      <c r="AC44" s="26">
        <f t="array" ref="AC44">SUM(COUNTIF(AC$9:AC$37,{"S2";"S2, 2";"S2, C1";"S2, C2";"2, S2";"C1, S2";"C2, S2";"3, S2";"S2, 3"}))/2</f>
        <v>1.5</v>
      </c>
      <c r="AD44" s="26">
        <f t="array" ref="AD44">SUM(COUNTIF(AD$9:AD$37,{"S2";"S2, 2";"S2, C1";"S2, C2";"2, S2";"C1, S2";"C2, S2";"3, S2";"S2, 3"}))/2</f>
        <v>1.5</v>
      </c>
      <c r="AE44" s="26">
        <f t="array" ref="AE44">SUM(COUNTIF(AE$9:AE$37,{"S2";"S2, 2";"S2, C1";"S2, C2";"2, S2";"C1, S2";"C2, S2";"3, S2";"S2, 3"}))/2</f>
        <v>0</v>
      </c>
      <c r="AF44" s="26">
        <f t="array" ref="AF44">SUM(COUNTIF(AF$9:AF$37,{"S2";"S2, 2";"S2, C1";"S2, C2";"2, S2";"C1, S2";"C2, S2";"3, S2";"S2, 3"}))/2</f>
        <v>0</v>
      </c>
      <c r="AG44" s="26">
        <f t="array" ref="AG44">SUM(COUNTIF(AG$9:AG$37,{"S2";"S2, 2";"S2, C1";"S2, C2";"2, S2";"C1, S2";"C2, S2";"3, S2";"S2, 3"}))/2</f>
        <v>0</v>
      </c>
      <c r="AH44" s="26">
        <f t="array" ref="AH44">SUM(COUNTIF(AH$9:AH$37,{"S2";"S2, 2";"S2, C1";"S2, C2";"2, S2";"C1, S2";"C2, S2";"3, S2";"S2, 3"}))/2</f>
        <v>0</v>
      </c>
      <c r="AI44" s="26">
        <f t="array" ref="AI44">SUM(COUNTIF(AI$9:AI$37,{"S2";"S2, 2";"S2, C1";"S2, C2";"2, S2";"C1, S2";"C2, S2";"3, S2";"S2, 3"}))/2</f>
        <v>0</v>
      </c>
      <c r="AJ44" s="27">
        <f t="shared" si="9"/>
        <v>66</v>
      </c>
      <c r="AK44" s="7"/>
      <c r="AL44" s="7"/>
      <c r="AM44" s="47"/>
      <c r="AN44" s="7"/>
      <c r="AO44" s="7"/>
      <c r="AP44" s="7"/>
      <c r="AQ44" s="47"/>
      <c r="AR44" s="7"/>
      <c r="AS44" s="47"/>
      <c r="AT44" s="7"/>
      <c r="AU44" s="4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"/>
    </row>
    <row r="45" spans="1:63" ht="15.75" customHeight="1">
      <c r="A45" s="3"/>
      <c r="B45" s="3"/>
      <c r="C45" s="331"/>
      <c r="D45" s="48" t="s">
        <v>181</v>
      </c>
      <c r="E45" s="49">
        <f t="shared" ref="E45:AI45" si="10">E42+E43+E44</f>
        <v>0</v>
      </c>
      <c r="F45" s="49">
        <f t="shared" si="10"/>
        <v>4.5</v>
      </c>
      <c r="G45" s="49">
        <f t="shared" si="10"/>
        <v>4</v>
      </c>
      <c r="H45" s="49">
        <f t="shared" si="10"/>
        <v>4</v>
      </c>
      <c r="I45" s="49">
        <f t="shared" si="10"/>
        <v>4</v>
      </c>
      <c r="J45" s="49">
        <f t="shared" si="10"/>
        <v>4.5</v>
      </c>
      <c r="K45" s="49">
        <f t="shared" si="10"/>
        <v>4.5</v>
      </c>
      <c r="L45" s="49">
        <f t="shared" si="10"/>
        <v>5</v>
      </c>
      <c r="M45" s="49">
        <f t="shared" si="10"/>
        <v>5</v>
      </c>
      <c r="N45" s="49">
        <f t="shared" si="10"/>
        <v>4</v>
      </c>
      <c r="O45" s="49">
        <f t="shared" si="10"/>
        <v>3</v>
      </c>
      <c r="P45" s="49">
        <f t="shared" si="10"/>
        <v>2.5</v>
      </c>
      <c r="Q45" s="49">
        <f t="shared" si="10"/>
        <v>3.5</v>
      </c>
      <c r="R45" s="49">
        <f t="shared" si="10"/>
        <v>3.5</v>
      </c>
      <c r="S45" s="49">
        <f t="shared" si="10"/>
        <v>4</v>
      </c>
      <c r="T45" s="49">
        <f t="shared" si="10"/>
        <v>4</v>
      </c>
      <c r="U45" s="49">
        <f t="shared" si="10"/>
        <v>3</v>
      </c>
      <c r="V45" s="49">
        <f t="shared" si="10"/>
        <v>3</v>
      </c>
      <c r="W45" s="49">
        <f t="shared" si="10"/>
        <v>2.5</v>
      </c>
      <c r="X45" s="49">
        <f t="shared" si="10"/>
        <v>3.5</v>
      </c>
      <c r="Y45" s="49">
        <f t="shared" si="10"/>
        <v>4</v>
      </c>
      <c r="Z45" s="49">
        <f t="shared" si="10"/>
        <v>3.5</v>
      </c>
      <c r="AA45" s="49">
        <f t="shared" si="10"/>
        <v>3.5</v>
      </c>
      <c r="AB45" s="49">
        <f t="shared" si="10"/>
        <v>3</v>
      </c>
      <c r="AC45" s="49">
        <f t="shared" si="10"/>
        <v>2.5</v>
      </c>
      <c r="AD45" s="49">
        <f t="shared" si="10"/>
        <v>1.5</v>
      </c>
      <c r="AE45" s="49">
        <f t="shared" si="10"/>
        <v>0</v>
      </c>
      <c r="AF45" s="49">
        <f t="shared" si="10"/>
        <v>0</v>
      </c>
      <c r="AG45" s="49">
        <f t="shared" si="10"/>
        <v>0</v>
      </c>
      <c r="AH45" s="49">
        <f t="shared" si="10"/>
        <v>0</v>
      </c>
      <c r="AI45" s="49">
        <f t="shared" si="10"/>
        <v>0</v>
      </c>
      <c r="AJ45" s="50">
        <f t="shared" si="9"/>
        <v>90</v>
      </c>
      <c r="AK45" s="37"/>
      <c r="AL45" s="37"/>
      <c r="AM45" s="51"/>
      <c r="AN45" s="7"/>
      <c r="AO45" s="7"/>
      <c r="AP45" s="7"/>
      <c r="AQ45" s="47"/>
      <c r="AR45" s="7"/>
      <c r="AS45" s="47"/>
      <c r="AT45" s="7"/>
      <c r="AU45" s="4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"/>
    </row>
    <row r="46" spans="1:63" ht="15.75" customHeight="1">
      <c r="A46" s="3"/>
      <c r="B46" s="3"/>
      <c r="C46" s="331"/>
      <c r="D46" s="23" t="s">
        <v>15</v>
      </c>
      <c r="E46" s="26">
        <f t="array" ref="E46">SUM(COUNTIF(E$9:E$37,{"2";"2, S2";"S2, 2"}))</f>
        <v>0</v>
      </c>
      <c r="F46" s="26">
        <f t="array" ref="F46">SUM(COUNTIF(F$9:F$37,{"2";"2, S2";"S2, 2"}))</f>
        <v>4</v>
      </c>
      <c r="G46" s="26">
        <f t="array" ref="G46">SUM(COUNTIF(G$9:G$37,{"2";"2, S2";"S2, 2"}))</f>
        <v>4</v>
      </c>
      <c r="H46" s="26">
        <f t="array" ref="H46">SUM(COUNTIF(H$9:H$37,{"2";"2, S2";"S2, 2"}))</f>
        <v>6</v>
      </c>
      <c r="I46" s="26">
        <f t="array" ref="I46">SUM(COUNTIF(I$9:I$37,{"2";"2, S2";"S2, 2"}))</f>
        <v>5</v>
      </c>
      <c r="J46" s="26">
        <f t="array" ref="J46">SUM(COUNTIF(J$9:J$37,{"2";"2, S2";"S2, 2"}))</f>
        <v>6</v>
      </c>
      <c r="K46" s="26">
        <f t="array" ref="K46">SUM(COUNTIF(K$9:K$37,{"2";"2, S2";"S2, 2"}))</f>
        <v>6</v>
      </c>
      <c r="L46" s="26">
        <f t="array" ref="L46">SUM(COUNTIF(L$9:L$37,{"2";"2, S2";"S2, 2"}))</f>
        <v>5</v>
      </c>
      <c r="M46" s="26">
        <f t="array" ref="M46">SUM(COUNTIF(M$9:M$37,{"2";"2, S2";"S2, 2"}))</f>
        <v>5</v>
      </c>
      <c r="N46" s="26">
        <f t="array" ref="N46">SUM(COUNTIF(N$9:N$37,{"2";"2, S2";"S2, 2"}))</f>
        <v>6</v>
      </c>
      <c r="O46" s="26">
        <f t="array" ref="O46">SUM(COUNTIF(O$9:O$37,{"2";"2, S2";"S2, 2"}))</f>
        <v>4</v>
      </c>
      <c r="P46" s="26">
        <f t="array" ref="P46">SUM(COUNTIF(P$9:P$37,{"2";"2, S2";"S2, 2"}))</f>
        <v>4</v>
      </c>
      <c r="Q46" s="26">
        <f t="array" ref="Q46">SUM(COUNTIF(Q$9:Q$37,{"2";"2, S2";"S2, 2"}))</f>
        <v>5</v>
      </c>
      <c r="R46" s="26">
        <f t="array" ref="R46">SUM(COUNTIF(R$9:R$37,{"2";"2, S2";"S2, 2"}))</f>
        <v>5</v>
      </c>
      <c r="S46" s="26">
        <f t="array" ref="S46">SUM(COUNTIF(S$9:S$37,{"2";"2, S2";"S2, 2"}))</f>
        <v>6</v>
      </c>
      <c r="T46" s="26">
        <f t="array" ref="T46">SUM(COUNTIF(T$9:T$37,{"2";"2, S2";"S2, 2"}))</f>
        <v>5</v>
      </c>
      <c r="U46" s="26">
        <f t="array" ref="U46">SUM(COUNTIF(U$9:U$37,{"2";"2, S2";"S2, 2"}))</f>
        <v>6</v>
      </c>
      <c r="V46" s="26">
        <f t="array" ref="V46">SUM(COUNTIF(V$9:V$37,{"2";"2, S2";"S2, 2"}))</f>
        <v>5</v>
      </c>
      <c r="W46" s="26">
        <f t="array" ref="W46">SUM(COUNTIF(W$9:W$37,{"2";"2, S2";"S2, 2"}))</f>
        <v>3</v>
      </c>
      <c r="X46" s="26">
        <f t="array" ref="X46">SUM(COUNTIF(X$9:X$37,{"2";"2, S2";"S2, 2"}))</f>
        <v>6</v>
      </c>
      <c r="Y46" s="26">
        <f t="array" ref="Y46">SUM(COUNTIF(Y$9:Y$37,{"2";"2, S2";"S2, 2"}))</f>
        <v>5</v>
      </c>
      <c r="Z46" s="26">
        <f t="array" ref="Z46">SUM(COUNTIF(Z$9:Z$37,{"2";"2, S2";"S2, 2"}))</f>
        <v>6</v>
      </c>
      <c r="AA46" s="26">
        <f t="array" ref="AA46">SUM(COUNTIF(AA$9:AA$37,{"2";"2, S2";"S2, 2"}))</f>
        <v>6</v>
      </c>
      <c r="AB46" s="26">
        <f t="array" ref="AB46">SUM(COUNTIF(AB$9:AB$37,{"2";"2, S2";"S2, 2"}))</f>
        <v>5</v>
      </c>
      <c r="AC46" s="26">
        <f t="array" ref="AC46">SUM(COUNTIF(AC$9:AC$37,{"2";"2, S2";"S2, 2"}))</f>
        <v>6</v>
      </c>
      <c r="AD46" s="26">
        <f t="array" ref="AD46">SUM(COUNTIF(AD$9:AD$37,{"2";"2, S2";"S2, 2"}))</f>
        <v>6</v>
      </c>
      <c r="AE46" s="26">
        <f t="array" ref="AE46">SUM(COUNTIF(AE$9:AE$37,{"2";"2, S2";"S2, 2"}))</f>
        <v>0</v>
      </c>
      <c r="AF46" s="26">
        <f t="array" ref="AF46">SUM(COUNTIF(AF$9:AF$37,{"2";"2, S2";"S2, 2"}))</f>
        <v>0</v>
      </c>
      <c r="AG46" s="26">
        <f t="array" ref="AG46">SUM(COUNTIF(AG$9:AG$37,{"2";"2, S2";"S2, 2"}))</f>
        <v>0</v>
      </c>
      <c r="AH46" s="26">
        <f t="array" ref="AH46">SUM(COUNTIF(AH$9:AH$37,{"2";"2, S2";"S2, 2"}))</f>
        <v>0</v>
      </c>
      <c r="AI46" s="26">
        <f t="array" ref="AI46">SUM(COUNTIF(AI$9:AI$37,{"2";"2, S2";"S2, 2"}))</f>
        <v>0</v>
      </c>
      <c r="AJ46" s="27">
        <f t="shared" si="9"/>
        <v>130</v>
      </c>
      <c r="AK46" s="7"/>
      <c r="AL46" s="7"/>
      <c r="AM46" s="47"/>
      <c r="AN46" s="7"/>
      <c r="AO46" s="7"/>
      <c r="AP46" s="7"/>
      <c r="AQ46" s="47"/>
      <c r="AR46" s="7"/>
      <c r="AS46" s="47"/>
      <c r="AT46" s="7"/>
      <c r="AU46" s="4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"/>
    </row>
    <row r="47" spans="1:63" ht="15.75" customHeight="1">
      <c r="A47" s="3"/>
      <c r="B47" s="3"/>
      <c r="C47" s="331"/>
      <c r="D47" s="23" t="s">
        <v>182</v>
      </c>
      <c r="E47" s="26">
        <f t="array" ref="E47">SUM(COUNTIF(E$9:E$37,{"1, C1";"C1";"C1, 3";"C1, C2";"S2, C1";"C1, 1";"3, C1";"C2, C1";"C1, S2"}))/2</f>
        <v>0</v>
      </c>
      <c r="F47" s="26">
        <f t="array" ref="F47">SUM(COUNTIF(F$9:F$37,{"1, C1";"C1";"C1, 3";"C1, C2";"S2, C1";"C1, 1";"3, C1";"C2, C1";"C1, S2"}))/2</f>
        <v>2</v>
      </c>
      <c r="G47" s="26">
        <f t="array" ref="G47">SUM(COUNTIF(G$9:G$37,{"1, C1";"C1";"C1, 3";"C1, C2";"S2, C1";"C1, 1";"3, C1";"C2, C1";"C1, S2"}))/2</f>
        <v>1.5</v>
      </c>
      <c r="H47" s="26">
        <f t="array" ref="H47">SUM(COUNTIF(H$9:H$37,{"1, C1";"C1";"C1, 3";"C1, C2";"S2, C1";"C1, 1";"3, C1";"C2, C1";"C1, S2"}))/2</f>
        <v>1</v>
      </c>
      <c r="I47" s="26">
        <f t="array" ref="I47">SUM(COUNTIF(I$9:I$37,{"1, C1";"C1";"C1, 3";"C1, C2";"S2, C1";"C1, 1";"3, C1";"C2, C1";"C1, S2"}))/2</f>
        <v>1.5</v>
      </c>
      <c r="J47" s="26">
        <f t="array" ref="J47">SUM(COUNTIF(J$9:J$37,{"1, C1";"C1";"C1, 3";"C1, C2";"S2, C1";"C1, 1";"3, C1";"C2, C1";"C1, S2"}))/2</f>
        <v>0.5</v>
      </c>
      <c r="K47" s="26">
        <f t="array" ref="K47">SUM(COUNTIF(K$9:K$37,{"1, C1";"C1";"C1, 3";"C1, C2";"S2, C1";"C1, 1";"3, C1";"C2, C1";"C1, S2"}))/2</f>
        <v>1</v>
      </c>
      <c r="L47" s="26">
        <f t="array" ref="L47">SUM(COUNTIF(L$9:L$37,{"1, C1";"C1";"C1, 3";"C1, C2";"S2, C1";"C1, 1";"3, C1";"C2, C1";"C1, S2"}))/2</f>
        <v>2</v>
      </c>
      <c r="M47" s="26">
        <f t="array" ref="M47">SUM(COUNTIF(M$9:M$37,{"1, C1";"C1";"C1, 3";"C1, C2";"S2, C1";"C1, 1";"3, C1";"C2, C1";"C1, S2"}))/2</f>
        <v>2</v>
      </c>
      <c r="N47" s="26">
        <f t="array" ref="N47">SUM(COUNTIF(N$9:N$37,{"1, C1";"C1";"C1, 3";"C1, C2";"S2, C1";"C1, 1";"3, C1";"C2, C1";"C1, S2"}))/2</f>
        <v>1</v>
      </c>
      <c r="O47" s="26">
        <f t="array" ref="O47">SUM(COUNTIF(O$9:O$37,{"1, C1";"C1";"C1, 3";"C1, C2";"S2, C1";"C1, 1";"3, C1";"C2, C1";"C1, S2"}))/2</f>
        <v>1</v>
      </c>
      <c r="P47" s="26">
        <f t="array" ref="P47">SUM(COUNTIF(P$9:P$37,{"1, C1";"C1";"C1, 3";"C1, C2";"S2, C1";"C1, 1";"3, C1";"C2, C1";"C1, S2"}))/2</f>
        <v>1</v>
      </c>
      <c r="Q47" s="26">
        <f t="array" ref="Q47">SUM(COUNTIF(Q$9:Q$37,{"1, C1";"C1";"C1, 3";"C1, C2";"S2, C1";"C1, 1";"3, C1";"C2, C1";"C1, S2"}))/2</f>
        <v>1.5</v>
      </c>
      <c r="R47" s="26">
        <f t="array" ref="R47">SUM(COUNTIF(R$9:R$37,{"1, C1";"C1";"C1, 3";"C1, C2";"S2, C1";"C1, 1";"3, C1";"C2, C1";"C1, S2"}))/2</f>
        <v>1.5</v>
      </c>
      <c r="S47" s="26">
        <f t="array" ref="S47">SUM(COUNTIF(S$9:S$37,{"1, C1";"C1";"C1, 3";"C1, C2";"S2, C1";"C1, 1";"3, C1";"C2, C1";"C1, S2"}))/2</f>
        <v>0.5</v>
      </c>
      <c r="T47" s="26">
        <f t="array" ref="T47">SUM(COUNTIF(T$9:T$37,{"1, C1";"C1";"C1, 3";"C1, C2";"S2, C1";"C1, 1";"3, C1";"C2, C1";"C1, S2"}))/2</f>
        <v>1</v>
      </c>
      <c r="U47" s="26">
        <f t="array" ref="U47">SUM(COUNTIF(U$9:U$37,{"1, C1";"C1";"C1, 3";"C1, C2";"S2, C1";"C1, 1";"3, C1";"C2, C1";"C1, S2"}))/2</f>
        <v>0.5</v>
      </c>
      <c r="V47" s="26">
        <f t="array" ref="V47">SUM(COUNTIF(V$9:V$37,{"1, C1";"C1";"C1, 3";"C1, C2";"S2, C1";"C1, 1";"3, C1";"C2, C1";"C1, S2"}))/2</f>
        <v>0.5</v>
      </c>
      <c r="W47" s="26">
        <f t="array" ref="W47">SUM(COUNTIF(W$9:W$37,{"1, C1";"C1";"C1, 3";"C1, C2";"S2, C1";"C1, 1";"3, C1";"C2, C1";"C1, S2"}))/2</f>
        <v>1.5</v>
      </c>
      <c r="X47" s="26">
        <f t="array" ref="X47">SUM(COUNTIF(X$9:X$37,{"1, C1";"C1";"C1, 3";"C1, C2";"S2, C1";"C1, 1";"3, C1";"C2, C1";"C1, S2"}))/2</f>
        <v>0.5</v>
      </c>
      <c r="Y47" s="26">
        <f t="array" ref="Y47">SUM(COUNTIF(Y$9:Y$37,{"1, C1";"C1";"C1, 3";"C1, C2";"S2, C1";"C1, 1";"3, C1";"C2, C1";"C1, S2"}))/2</f>
        <v>0.5</v>
      </c>
      <c r="Z47" s="26">
        <f t="array" ref="Z47">SUM(COUNTIF(Z$9:Z$37,{"1, C1";"C1";"C1, 3";"C1, C2";"S2, C1";"C1, 1";"3, C1";"C2, C1";"C1, S2"}))/2</f>
        <v>0.5</v>
      </c>
      <c r="AA47" s="26">
        <f t="array" ref="AA47">SUM(COUNTIF(AA$9:AA$37,{"1, C1";"C1";"C1, 3";"C1, C2";"S2, C1";"C1, 1";"3, C1";"C2, C1";"C1, S2"}))/2</f>
        <v>0.5</v>
      </c>
      <c r="AB47" s="26">
        <f t="array" ref="AB47">SUM(COUNTIF(AB$9:AB$37,{"1, C1";"C1";"C1, 3";"C1, C2";"S2, C1";"C1, 1";"3, C1";"C2, C1";"C1, S2"}))/2</f>
        <v>1</v>
      </c>
      <c r="AC47" s="26">
        <f t="array" ref="AC47">SUM(COUNTIF(AC$9:AC$37,{"1, C1";"C1";"C1, 3";"C1, C2";"S2, C1";"C1, 1";"3, C1";"C2, C1";"C1, S2"}))/2</f>
        <v>0</v>
      </c>
      <c r="AD47" s="26">
        <f t="array" ref="AD47">SUM(COUNTIF(AD$9:AD$37,{"1, C1";"C1";"C1, 3";"C1, C2";"S2, C1";"C1, 1";"3, C1";"C2, C1";"C1, S2"}))/2</f>
        <v>0</v>
      </c>
      <c r="AE47" s="26">
        <f t="array" ref="AE47">SUM(COUNTIF(AE$9:AE$37,{"1, C1";"C1";"C1, 3";"C1, C2";"S2, C1";"C1, 1";"3, C1";"C2, C1";"C1, S2"}))/2</f>
        <v>0</v>
      </c>
      <c r="AF47" s="26">
        <f t="array" ref="AF47">SUM(COUNTIF(AF$9:AF$37,{"1, C1";"C1";"C1, 3";"C1, C2";"S2, C1";"C1, 1";"3, C1";"C2, C1";"C1, S2"}))/2</f>
        <v>0</v>
      </c>
      <c r="AG47" s="26">
        <f t="array" ref="AG47">SUM(COUNTIF(AG$9:AG$37,{"1, C1";"C1";"C1, 3";"C1, C2";"S2, C1";"C1, 1";"3, C1";"C2, C1";"C1, S2"}))/2</f>
        <v>0</v>
      </c>
      <c r="AH47" s="26">
        <f t="array" ref="AH47">SUM(COUNTIF(AH$9:AH$37,{"1, C1";"C1";"C1, 3";"C1, C2";"S2, C1";"C1, 1";"3, C1";"C2, C1";"C1, S2"}))/2</f>
        <v>0</v>
      </c>
      <c r="AI47" s="26">
        <f t="array" ref="AI47">SUM(COUNTIF(AI$9:AI$37,{"1, C1";"C1";"C1, 3";"C1, C2";"S2, C1";"C1, 1";"3, C1";"C2, C1";"C1, S2"}))/2</f>
        <v>0</v>
      </c>
      <c r="AJ47" s="27">
        <f t="shared" si="9"/>
        <v>24.5</v>
      </c>
      <c r="AK47" s="7"/>
      <c r="AL47" s="7"/>
      <c r="AM47" s="47"/>
      <c r="AN47" s="7"/>
      <c r="AO47" s="7"/>
      <c r="AP47" s="7"/>
      <c r="AQ47" s="47"/>
      <c r="AR47" s="7"/>
      <c r="AS47" s="47"/>
      <c r="AT47" s="7"/>
      <c r="AU47" s="4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"/>
    </row>
    <row r="48" spans="1:63" ht="15.75" customHeight="1">
      <c r="A48" s="3"/>
      <c r="B48" s="3"/>
      <c r="C48" s="331"/>
      <c r="D48" s="23" t="s">
        <v>183</v>
      </c>
      <c r="E48" s="26">
        <f t="array" ref="E48">SUM(COUNTIF(E$9:E$37,{"1, C2";"C1, C2";"C2";"C2, 3";"S2, C2";"C2, 1";"C2, C1";"3, C2";"C2, S2";"C2, HC";"HC, C2"}))/2</f>
        <v>0</v>
      </c>
      <c r="F48" s="26">
        <f t="array" ref="F48">SUM(COUNTIF(F$9:F$37,{"1, C2";"C1, C2";"C2";"C2, 3";"S2, C2";"C2, 1";"C2, C1";"3, C2";"C2, S2";"C2, HC";"HC, C2"}))/2</f>
        <v>1</v>
      </c>
      <c r="G48" s="26">
        <f t="array" ref="G48">SUM(COUNTIF(G$9:G$37,{"1, C2";"C1, C2";"C2";"C2, 3";"S2, C2";"C2, 1";"C2, C1";"3, C2";"C2, S2";"C2, HC";"HC, C2"}))/2</f>
        <v>1</v>
      </c>
      <c r="H48" s="26">
        <f t="array" ref="H48">SUM(COUNTIF(H$9:H$37,{"1, C2";"C1, C2";"C2";"C2, 3";"S2, C2";"C2, 1";"C2, C1";"3, C2";"C2, S2";"C2, HC";"HC, C2"}))/2</f>
        <v>0</v>
      </c>
      <c r="I48" s="26">
        <f t="array" ref="I48">SUM(COUNTIF(I$9:I$37,{"1, C2";"C1, C2";"C2";"C2, 3";"S2, C2";"C2, 1";"C2, C1";"3, C2";"C2, S2";"C2, HC";"HC, C2"}))/2</f>
        <v>0.5</v>
      </c>
      <c r="J48" s="26">
        <f t="array" ref="J48">SUM(COUNTIF(J$9:J$37,{"1, C2";"C1, C2";"C2";"C2, 3";"S2, C2";"C2, 1";"C2, C1";"3, C2";"C2, S2";"C2, HC";"HC, C2"}))/2</f>
        <v>0</v>
      </c>
      <c r="K48" s="26">
        <f t="array" ref="K48">SUM(COUNTIF(K$9:K$37,{"1, C2";"C1, C2";"C2";"C2, 3";"S2, C2";"C2, 1";"C2, C1";"3, C2";"C2, S2";"C2, HC";"HC, C2"}))/2</f>
        <v>0</v>
      </c>
      <c r="L48" s="26">
        <f t="array" ref="L48">SUM(COUNTIF(L$9:L$37,{"1, C2";"C1, C2";"C2";"C2, 3";"S2, C2";"C2, 1";"C2, C1";"3, C2";"C2, S2";"C2, HC";"HC, C2"}))/2</f>
        <v>0.5</v>
      </c>
      <c r="M48" s="26">
        <f t="array" ref="M48">SUM(COUNTIF(M$9:M$37,{"1, C2";"C1, C2";"C2";"C2, 3";"S2, C2";"C2, 1";"C2, C1";"3, C2";"C2, S2";"C2, HC";"HC, C2"}))/2</f>
        <v>0.5</v>
      </c>
      <c r="N48" s="26">
        <f t="array" ref="N48">SUM(COUNTIF(N$9:N$37,{"1, C2";"C1, C2";"C2";"C2, 3";"S2, C2";"C2, 1";"C2, C1";"3, C2";"C2, S2";"C2, HC";"HC, C2"}))/2</f>
        <v>0</v>
      </c>
      <c r="O48" s="26">
        <f t="array" ref="O48">SUM(COUNTIF(O$9:O$37,{"1, C2";"C1, C2";"C2";"C2, 3";"S2, C2";"C2, 1";"C2, C1";"3, C2";"C2, S2";"C2, HC";"HC, C2"}))/2</f>
        <v>1</v>
      </c>
      <c r="P48" s="26">
        <f t="array" ref="P48">SUM(COUNTIF(P$9:P$37,{"1, C2";"C1, C2";"C2";"C2, 3";"S2, C2";"C2, 1";"C2, C1";"3, C2";"C2, S2";"C2, HC";"HC, C2"}))/2</f>
        <v>1</v>
      </c>
      <c r="Q48" s="26">
        <f t="array" ref="Q48">SUM(COUNTIF(Q$9:Q$37,{"1, C2";"C1, C2";"C2";"C2, 3";"S2, C2";"C2, 1";"C2, C1";"3, C2";"C2, S2";"C2, HC";"HC, C2"}))/2</f>
        <v>0.5</v>
      </c>
      <c r="R48" s="26">
        <f t="array" ref="R48">SUM(COUNTIF(R$9:R$37,{"1, C2";"C1, C2";"C2";"C2, 3";"S2, C2";"C2, 1";"C2, C1";"3, C2";"C2, S2";"C2, HC";"HC, C2"}))/2</f>
        <v>0.5</v>
      </c>
      <c r="S48" s="26">
        <f t="array" ref="S48">SUM(COUNTIF(S$9:S$37,{"1, C2";"C1, C2";"C2";"C2, 3";"S2, C2";"C2, 1";"C2, C1";"3, C2";"C2, S2";"C2, HC";"HC, C2"}))/2</f>
        <v>0.5</v>
      </c>
      <c r="T48" s="26">
        <f t="array" ref="T48">SUM(COUNTIF(T$9:T$37,{"1, C2";"C1, C2";"C2";"C2, 3";"S2, C2";"C2, 1";"C2, C1";"3, C2";"C2, S2";"C2, HC";"HC, C2"}))/2</f>
        <v>1</v>
      </c>
      <c r="U48" s="26">
        <f t="array" ref="U48">SUM(COUNTIF(U$9:U$37,{"1, C2";"C1, C2";"C2";"C2, 3";"S2, C2";"C2, 1";"C2, C1";"3, C2";"C2, S2";"C2, HC";"HC, C2"}))/2</f>
        <v>1</v>
      </c>
      <c r="V48" s="26">
        <f t="array" ref="V48">SUM(COUNTIF(V$9:V$37,{"1, C2";"C1, C2";"C2";"C2, 3";"S2, C2";"C2, 1";"C2, C1";"3, C2";"C2, S2";"C2, HC";"HC, C2"}))/2</f>
        <v>0.5</v>
      </c>
      <c r="W48" s="26">
        <f t="array" ref="W48">SUM(COUNTIF(W$9:W$37,{"1, C2";"C1, C2";"C2";"C2, 3";"S2, C2";"C2, 1";"C2, C1";"3, C2";"C2, S2";"C2, HC";"HC, C2"}))/2</f>
        <v>1.5</v>
      </c>
      <c r="X48" s="26">
        <f t="array" ref="X48">SUM(COUNTIF(X$9:X$37,{"1, C2";"C1, C2";"C2";"C2, 3";"S2, C2";"C2, 1";"C2, C1";"3, C2";"C2, S2";"C2, HC";"HC, C2"}))/2</f>
        <v>1.5</v>
      </c>
      <c r="Y48" s="26">
        <f t="array" ref="Y48">SUM(COUNTIF(Y$9:Y$37,{"1, C2";"C1, C2";"C2";"C2, 3";"S2, C2";"C2, 1";"C2, C1";"3, C2";"C2, S2";"C2, HC";"HC, C2"}))/2</f>
        <v>0</v>
      </c>
      <c r="Z48" s="26">
        <f t="array" ref="Z48">SUM(COUNTIF(Z$9:Z$37,{"1, C2";"C1, C2";"C2";"C2, 3";"S2, C2";"C2, 1";"C2, C1";"3, C2";"C2, S2";"C2, HC";"HC, C2"}))/2</f>
        <v>0</v>
      </c>
      <c r="AA48" s="26">
        <f t="array" ref="AA48">SUM(COUNTIF(AA$9:AA$37,{"1, C2";"C1, C2";"C2";"C2, 3";"S2, C2";"C2, 1";"C2, C1";"3, C2";"C2, S2";"C2, HC";"HC, C2"}))/2</f>
        <v>0</v>
      </c>
      <c r="AB48" s="26">
        <f t="array" ref="AB48">SUM(COUNTIF(AB$9:AB$37,{"1, C2";"C1, C2";"C2";"C2, 3";"S2, C2";"C2, 1";"C2, C1";"3, C2";"C2, S2";"C2, HC";"HC, C2"}))/2</f>
        <v>0.5</v>
      </c>
      <c r="AC48" s="26">
        <f t="array" ref="AC48">SUM(COUNTIF(AC$9:AC$37,{"1, C2";"C1, C2";"C2";"C2, 3";"S2, C2";"C2, 1";"C2, C1";"3, C2";"C2, S2";"C2, HC";"HC, C2"}))/2</f>
        <v>0</v>
      </c>
      <c r="AD48" s="26">
        <f t="array" ref="AD48">SUM(COUNTIF(AD$9:AD$37,{"1, C2";"C1, C2";"C2";"C2, 3";"S2, C2";"C2, 1";"C2, C1";"3, C2";"C2, S2";"C2, HC";"HC, C2"}))/2</f>
        <v>0</v>
      </c>
      <c r="AE48" s="26">
        <f t="array" ref="AE48">SUM(COUNTIF(AE$9:AE$37,{"1, C2";"C1, C2";"C2";"C2, 3";"S2, C2";"C2, 1";"C2, C1";"3, C2";"C2, S2";"C2, HC";"HC, C2"}))/2</f>
        <v>0</v>
      </c>
      <c r="AF48" s="26">
        <f t="array" ref="AF48">SUM(COUNTIF(AF$9:AF$37,{"1, C2";"C1, C2";"C2";"C2, 3";"S2, C2";"C2, 1";"C2, C1";"3, C2";"C2, S2";"C2, HC";"HC, C2"}))/2</f>
        <v>0</v>
      </c>
      <c r="AG48" s="26">
        <f t="array" ref="AG48">SUM(COUNTIF(AG$9:AG$37,{"1, C2";"C1, C2";"C2";"C2, 3";"S2, C2";"C2, 1";"C2, C1";"3, C2";"C2, S2";"C2, HC";"HC, C2"}))/2</f>
        <v>0</v>
      </c>
      <c r="AH48" s="26">
        <f t="array" ref="AH48">SUM(COUNTIF(AH$9:AH$37,{"1, C2";"C1, C2";"C2";"C2, 3";"S2, C2";"C2, 1";"C2, C1";"3, C2";"C2, S2";"C2, HC";"HC, C2"}))/2</f>
        <v>0</v>
      </c>
      <c r="AI48" s="26">
        <f t="array" ref="AI48">SUM(COUNTIF(AI$9:AI$37,{"1, C2";"C1, C2";"C2";"C2, 3";"S2, C2";"C2, 1";"C2, C1";"3, C2";"C2, S2";"C2, HC";"HC, C2"}))/2</f>
        <v>0</v>
      </c>
      <c r="AJ48" s="27">
        <f t="shared" si="9"/>
        <v>13</v>
      </c>
      <c r="AK48" s="7"/>
      <c r="AL48" s="7"/>
      <c r="AM48" s="47"/>
      <c r="AN48" s="7"/>
      <c r="AO48" s="7"/>
      <c r="AP48" s="7"/>
      <c r="AQ48" s="47"/>
      <c r="AR48" s="7"/>
      <c r="AS48" s="47"/>
      <c r="AT48" s="7"/>
      <c r="AU48" s="4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"/>
    </row>
    <row r="49" spans="1:63" ht="15.75" customHeight="1">
      <c r="A49" s="3"/>
      <c r="B49" s="3"/>
      <c r="C49" s="331"/>
      <c r="D49" s="48" t="s">
        <v>184</v>
      </c>
      <c r="E49" s="49">
        <f t="shared" ref="E49:AI49" si="11">E46+E47+E48</f>
        <v>0</v>
      </c>
      <c r="F49" s="49">
        <f t="shared" si="11"/>
        <v>7</v>
      </c>
      <c r="G49" s="49">
        <f t="shared" si="11"/>
        <v>6.5</v>
      </c>
      <c r="H49" s="49">
        <f t="shared" si="11"/>
        <v>7</v>
      </c>
      <c r="I49" s="49">
        <f t="shared" si="11"/>
        <v>7</v>
      </c>
      <c r="J49" s="49">
        <f t="shared" si="11"/>
        <v>6.5</v>
      </c>
      <c r="K49" s="49">
        <f t="shared" si="11"/>
        <v>7</v>
      </c>
      <c r="L49" s="49">
        <f t="shared" si="11"/>
        <v>7.5</v>
      </c>
      <c r="M49" s="49">
        <f t="shared" si="11"/>
        <v>7.5</v>
      </c>
      <c r="N49" s="49">
        <f t="shared" si="11"/>
        <v>7</v>
      </c>
      <c r="O49" s="49">
        <f t="shared" si="11"/>
        <v>6</v>
      </c>
      <c r="P49" s="49">
        <f t="shared" si="11"/>
        <v>6</v>
      </c>
      <c r="Q49" s="49">
        <f t="shared" si="11"/>
        <v>7</v>
      </c>
      <c r="R49" s="49">
        <f t="shared" si="11"/>
        <v>7</v>
      </c>
      <c r="S49" s="49">
        <f t="shared" si="11"/>
        <v>7</v>
      </c>
      <c r="T49" s="49">
        <f t="shared" si="11"/>
        <v>7</v>
      </c>
      <c r="U49" s="49">
        <f t="shared" si="11"/>
        <v>7.5</v>
      </c>
      <c r="V49" s="49">
        <f t="shared" si="11"/>
        <v>6</v>
      </c>
      <c r="W49" s="49">
        <f t="shared" si="11"/>
        <v>6</v>
      </c>
      <c r="X49" s="49">
        <f t="shared" si="11"/>
        <v>8</v>
      </c>
      <c r="Y49" s="49">
        <f t="shared" si="11"/>
        <v>5.5</v>
      </c>
      <c r="Z49" s="49">
        <f t="shared" si="11"/>
        <v>6.5</v>
      </c>
      <c r="AA49" s="49">
        <f t="shared" si="11"/>
        <v>6.5</v>
      </c>
      <c r="AB49" s="49">
        <f t="shared" si="11"/>
        <v>6.5</v>
      </c>
      <c r="AC49" s="49">
        <f t="shared" si="11"/>
        <v>6</v>
      </c>
      <c r="AD49" s="49">
        <f t="shared" si="11"/>
        <v>6</v>
      </c>
      <c r="AE49" s="49">
        <f t="shared" si="11"/>
        <v>0</v>
      </c>
      <c r="AF49" s="49">
        <f t="shared" si="11"/>
        <v>0</v>
      </c>
      <c r="AG49" s="49">
        <f t="shared" si="11"/>
        <v>0</v>
      </c>
      <c r="AH49" s="49">
        <f t="shared" si="11"/>
        <v>0</v>
      </c>
      <c r="AI49" s="49">
        <f t="shared" si="11"/>
        <v>0</v>
      </c>
      <c r="AJ49" s="50">
        <f t="shared" si="9"/>
        <v>167.5</v>
      </c>
      <c r="AK49" s="37"/>
      <c r="AL49" s="37"/>
      <c r="AM49" s="51"/>
      <c r="AN49" s="7"/>
      <c r="AO49" s="7"/>
      <c r="AP49" s="7"/>
      <c r="AQ49" s="47"/>
      <c r="AR49" s="7"/>
      <c r="AS49" s="47"/>
      <c r="AT49" s="7"/>
      <c r="AU49" s="4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"/>
    </row>
    <row r="50" spans="1:63" ht="15.75" customHeight="1">
      <c r="A50" s="3"/>
      <c r="B50" s="3"/>
      <c r="C50" s="331"/>
      <c r="D50" s="48" t="s">
        <v>185</v>
      </c>
      <c r="E50" s="49">
        <f t="array" ref="E50">SUM(COUNTIFS(E$9:E$37,{"GR";"HC";"KT";"QA";"HC, C2";"C2, HC"}))+SUM(COUNTIFS(E$9:E$37,{"HC1";"HC2"}))/2</f>
        <v>0</v>
      </c>
      <c r="F50" s="49">
        <f t="array" ref="F50">SUM(COUNTIFS(F$9:F$37,{"GR";"HC";"KT";"QA";"HC, C2";"C2, HC"}))+SUM(COUNTIFS(F$9:F$37,{"HC1";"HC2"}))/2</f>
        <v>14</v>
      </c>
      <c r="G50" s="49">
        <f t="array" ref="G50">SUM(COUNTIFS(G$9:G$37,{"GR";"HC";"KT";"QA";"HC, C2";"C2, HC"}))+SUM(COUNTIFS(G$9:G$37,{"HC1";"HC2"}))/2</f>
        <v>16</v>
      </c>
      <c r="H50" s="49">
        <f t="array" ref="H50">SUM(COUNTIFS(H$9:H$37,{"GR";"HC";"KT";"QA";"HC, C2";"C2, HC"}))+SUM(COUNTIFS(H$9:H$37,{"HC1";"HC2"}))/2</f>
        <v>9</v>
      </c>
      <c r="I50" s="49">
        <f t="array" ref="I50">SUM(COUNTIFS(I$9:I$37,{"GR";"HC";"KT";"QA";"HC, C2";"C2, HC"}))+SUM(COUNTIFS(I$9:I$37,{"HC1";"HC2"}))/2</f>
        <v>5</v>
      </c>
      <c r="J50" s="49">
        <f t="array" ref="J50">SUM(COUNTIFS(J$9:J$37,{"GR";"HC";"KT";"QA";"HC, C2";"C2, HC"}))+SUM(COUNTIFS(J$9:J$37,{"HC1";"HC2"}))/2</f>
        <v>15</v>
      </c>
      <c r="K50" s="49">
        <f t="array" ref="K50">SUM(COUNTIFS(K$9:K$37,{"GR";"HC";"KT";"QA";"HC, C2";"C2, HC"}))+SUM(COUNTIFS(K$9:K$37,{"HC1";"HC2"}))/2</f>
        <v>15</v>
      </c>
      <c r="L50" s="49">
        <f t="array" ref="L50">SUM(COUNTIFS(L$9:L$37,{"GR";"HC";"KT";"QA";"HC, C2";"C2, HC"}))+SUM(COUNTIFS(L$9:L$37,{"HC1";"HC2"}))/2</f>
        <v>14</v>
      </c>
      <c r="M50" s="49">
        <f t="array" ref="M50">SUM(COUNTIFS(M$9:M$37,{"GR";"HC";"KT";"QA";"HC, C2";"C2, HC"}))+SUM(COUNTIFS(M$9:M$37,{"HC1";"HC2"}))/2</f>
        <v>15</v>
      </c>
      <c r="N50" s="49">
        <f t="array" ref="N50">SUM(COUNTIFS(N$9:N$37,{"GR";"HC";"KT";"QA";"HC, C2";"C2, HC"}))+SUM(COUNTIFS(N$9:N$37,{"HC1";"HC2"}))/2</f>
        <v>13</v>
      </c>
      <c r="O50" s="49">
        <f t="array" ref="O50">SUM(COUNTIFS(O$9:O$37,{"GR";"HC";"KT";"QA";"HC, C2";"C2, HC"}))+SUM(COUNTIFS(O$9:O$37,{"HC1";"HC2"}))/2</f>
        <v>8</v>
      </c>
      <c r="P50" s="49">
        <f t="array" ref="P50">SUM(COUNTIFS(P$9:P$37,{"GR";"HC";"KT";"QA";"HC, C2";"C2, HC"}))+SUM(COUNTIFS(P$9:P$37,{"HC1";"HC2"}))/2</f>
        <v>7</v>
      </c>
      <c r="Q50" s="49">
        <f t="array" ref="Q50">SUM(COUNTIFS(Q$9:Q$37,{"GR";"HC";"KT";"QA";"HC, C2";"C2, HC"}))+SUM(COUNTIFS(Q$9:Q$37,{"HC1";"HC2"}))/2</f>
        <v>13</v>
      </c>
      <c r="R50" s="49">
        <f t="array" ref="R50">SUM(COUNTIFS(R$9:R$37,{"GR";"HC";"KT";"QA";"HC, C2";"C2, HC"}))+SUM(COUNTIFS(R$9:R$37,{"HC1";"HC2"}))/2</f>
        <v>12</v>
      </c>
      <c r="S50" s="49">
        <f t="array" ref="S50">SUM(COUNTIFS(S$9:S$37,{"GR";"HC";"KT";"QA";"HC, C2";"C2, HC"}))+SUM(COUNTIFS(S$9:S$37,{"HC1";"HC2"}))/2</f>
        <v>11</v>
      </c>
      <c r="T50" s="49">
        <f t="array" ref="T50">SUM(COUNTIFS(T$9:T$37,{"GR";"HC";"KT";"QA";"HC, C2";"C2, HC"}))+SUM(COUNTIFS(T$9:T$37,{"HC1";"HC2"}))/2</f>
        <v>11</v>
      </c>
      <c r="U50" s="49">
        <f t="array" ref="U50">SUM(COUNTIFS(U$9:U$37,{"GR";"HC";"KT";"QA";"HC, C2";"C2, HC"}))+SUM(COUNTIFS(U$9:U$37,{"HC1";"HC2"}))/2</f>
        <v>11</v>
      </c>
      <c r="V50" s="49">
        <f t="array" ref="V50">SUM(COUNTIFS(V$9:V$37,{"GR";"HC";"KT";"QA";"HC, C2";"C2, HC"}))+SUM(COUNTIFS(V$9:V$37,{"HC1";"HC2"}))/2</f>
        <v>8</v>
      </c>
      <c r="W50" s="49">
        <f t="array" ref="W50">SUM(COUNTIFS(W$9:W$37,{"GR";"HC";"KT";"QA";"HC, C2";"C2, HC"}))+SUM(COUNTIFS(W$9:W$37,{"HC1";"HC2"}))/2</f>
        <v>6</v>
      </c>
      <c r="X50" s="49">
        <f t="array" ref="X50">SUM(COUNTIFS(X$9:X$37,{"GR";"HC";"KT";"QA";"HC, C2";"C2, HC"}))+SUM(COUNTIFS(X$9:X$37,{"HC1";"HC2"}))/2</f>
        <v>12</v>
      </c>
      <c r="Y50" s="49">
        <f t="array" ref="Y50">SUM(COUNTIFS(Y$9:Y$37,{"GR";"HC";"KT";"QA";"HC, C2";"C2, HC"}))+SUM(COUNTIFS(Y$9:Y$37,{"HC1";"HC2"}))/2</f>
        <v>11</v>
      </c>
      <c r="Z50" s="49">
        <f t="array" ref="Z50">SUM(COUNTIFS(Z$9:Z$37,{"GR";"HC";"KT";"QA";"HC, C2";"C2, HC"}))+SUM(COUNTIFS(Z$9:Z$37,{"HC1";"HC2"}))/2</f>
        <v>10</v>
      </c>
      <c r="AA50" s="49">
        <f t="array" ref="AA50">SUM(COUNTIFS(AA$9:AA$37,{"GR";"HC";"KT";"QA";"HC, C2";"C2, HC"}))+SUM(COUNTIFS(AA$9:AA$37,{"HC1";"HC2"}))/2</f>
        <v>10</v>
      </c>
      <c r="AB50" s="49">
        <f t="array" ref="AB50">SUM(COUNTIFS(AB$9:AB$37,{"GR";"HC";"KT";"QA";"HC, C2";"C2, HC"}))+SUM(COUNTIFS(AB$9:AB$37,{"HC1";"HC2"}))/2</f>
        <v>10</v>
      </c>
      <c r="AC50" s="49">
        <f t="array" ref="AC50">SUM(COUNTIFS(AC$9:AC$37,{"GR";"HC";"KT";"QA";"HC, C2";"C2, HC"}))+SUM(COUNTIFS(AC$9:AC$37,{"HC1";"HC2"}))/2</f>
        <v>7</v>
      </c>
      <c r="AD50" s="49">
        <f t="array" ref="AD50">SUM(COUNTIFS(AD$9:AD$37,{"GR";"HC";"KT";"QA";"HC, C2";"C2, HC"}))+SUM(COUNTIFS(AD$9:AD$37,{"HC1";"HC2"}))/2</f>
        <v>6</v>
      </c>
      <c r="AE50" s="49">
        <f t="array" ref="AE50">SUM(COUNTIFS(AE$9:AE$37,{"GR";"HC";"KT";"QA";"HC, C2";"C2, HC"}))+SUM(COUNTIFS(AE$9:AE$37,{"HC1";"HC2"}))/2</f>
        <v>0</v>
      </c>
      <c r="AF50" s="49">
        <f t="array" ref="AF50">SUM(COUNTIFS(AF$9:AF$37,{"GR";"HC";"KT";"QA";"HC, C2";"C2, HC"}))+SUM(COUNTIFS(AF$9:AF$37,{"HC1";"HC2"}))/2</f>
        <v>0</v>
      </c>
      <c r="AG50" s="49">
        <f t="array" ref="AG50">SUM(COUNTIFS(AG$9:AG$37,{"GR";"HC";"KT";"QA";"HC, C2";"C2, HC"}))+SUM(COUNTIFS(AG$9:AG$37,{"HC1";"HC2"}))/2</f>
        <v>0</v>
      </c>
      <c r="AH50" s="49">
        <f t="array" ref="AH50">SUM(COUNTIFS(AH$9:AH$37,{"GR";"HC";"KT";"QA";"HC, C2";"C2, HC"}))+SUM(COUNTIFS(AH$9:AH$37,{"HC1";"HC2"}))/2</f>
        <v>0</v>
      </c>
      <c r="AI50" s="49">
        <f t="array" ref="AI50">SUM(COUNTIFS(AI$9:AI$37,{"GR";"HC";"KT";"QA";"HC, C2";"C2, HC"}))+SUM(COUNTIFS(AI$9:AI$37,{"HC1";"HC2"}))/2</f>
        <v>0</v>
      </c>
      <c r="AJ50" s="50">
        <f t="shared" si="9"/>
        <v>269</v>
      </c>
      <c r="AK50" s="37"/>
      <c r="AL50" s="37"/>
      <c r="AM50" s="51"/>
      <c r="AN50" s="7"/>
      <c r="AO50" s="7"/>
      <c r="AP50" s="7"/>
      <c r="AQ50" s="47"/>
      <c r="AR50" s="7"/>
      <c r="AS50" s="47"/>
      <c r="AT50" s="7"/>
      <c r="AU50" s="4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"/>
    </row>
    <row r="51" spans="1:63" ht="15.75" customHeight="1">
      <c r="A51" s="3"/>
      <c r="B51" s="3"/>
      <c r="C51" s="331"/>
      <c r="D51" s="48" t="s">
        <v>186</v>
      </c>
      <c r="E51" s="49">
        <f t="shared" ref="E51:AI51" si="12">E45+E49+E50</f>
        <v>0</v>
      </c>
      <c r="F51" s="49">
        <f t="shared" si="12"/>
        <v>25.5</v>
      </c>
      <c r="G51" s="49">
        <f t="shared" si="12"/>
        <v>26.5</v>
      </c>
      <c r="H51" s="49">
        <f t="shared" si="12"/>
        <v>20</v>
      </c>
      <c r="I51" s="49">
        <f t="shared" si="12"/>
        <v>16</v>
      </c>
      <c r="J51" s="49">
        <f t="shared" si="12"/>
        <v>26</v>
      </c>
      <c r="K51" s="49">
        <f t="shared" si="12"/>
        <v>26.5</v>
      </c>
      <c r="L51" s="49">
        <f t="shared" si="12"/>
        <v>26.5</v>
      </c>
      <c r="M51" s="49">
        <f t="shared" si="12"/>
        <v>27.5</v>
      </c>
      <c r="N51" s="49">
        <f t="shared" si="12"/>
        <v>24</v>
      </c>
      <c r="O51" s="49">
        <f t="shared" si="12"/>
        <v>17</v>
      </c>
      <c r="P51" s="49">
        <f t="shared" si="12"/>
        <v>15.5</v>
      </c>
      <c r="Q51" s="49">
        <f t="shared" si="12"/>
        <v>23.5</v>
      </c>
      <c r="R51" s="49">
        <f t="shared" si="12"/>
        <v>22.5</v>
      </c>
      <c r="S51" s="49">
        <f t="shared" si="12"/>
        <v>22</v>
      </c>
      <c r="T51" s="49">
        <f t="shared" si="12"/>
        <v>22</v>
      </c>
      <c r="U51" s="49">
        <f t="shared" si="12"/>
        <v>21.5</v>
      </c>
      <c r="V51" s="49">
        <f t="shared" si="12"/>
        <v>17</v>
      </c>
      <c r="W51" s="49">
        <f t="shared" si="12"/>
        <v>14.5</v>
      </c>
      <c r="X51" s="49">
        <f t="shared" si="12"/>
        <v>23.5</v>
      </c>
      <c r="Y51" s="49">
        <f t="shared" si="12"/>
        <v>20.5</v>
      </c>
      <c r="Z51" s="49">
        <f t="shared" si="12"/>
        <v>20</v>
      </c>
      <c r="AA51" s="49">
        <f t="shared" si="12"/>
        <v>20</v>
      </c>
      <c r="AB51" s="49">
        <f t="shared" si="12"/>
        <v>19.5</v>
      </c>
      <c r="AC51" s="49">
        <f t="shared" si="12"/>
        <v>15.5</v>
      </c>
      <c r="AD51" s="49">
        <f t="shared" si="12"/>
        <v>13.5</v>
      </c>
      <c r="AE51" s="49">
        <f t="shared" si="12"/>
        <v>0</v>
      </c>
      <c r="AF51" s="49">
        <f t="shared" si="12"/>
        <v>0</v>
      </c>
      <c r="AG51" s="49">
        <f t="shared" si="12"/>
        <v>0</v>
      </c>
      <c r="AH51" s="49">
        <f t="shared" si="12"/>
        <v>0</v>
      </c>
      <c r="AI51" s="49">
        <f t="shared" si="12"/>
        <v>0</v>
      </c>
      <c r="AJ51" s="50">
        <f t="shared" si="9"/>
        <v>526.5</v>
      </c>
      <c r="AK51" s="37"/>
      <c r="AL51" s="37"/>
      <c r="AM51" s="51"/>
      <c r="AN51" s="7"/>
      <c r="AO51" s="7"/>
      <c r="AP51" s="7"/>
      <c r="AQ51" s="47"/>
      <c r="AR51" s="7"/>
      <c r="AS51" s="47"/>
      <c r="AT51" s="7"/>
      <c r="AU51" s="4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"/>
    </row>
    <row r="52" spans="1:63" ht="15.75" customHeight="1">
      <c r="A52" s="3"/>
      <c r="B52" s="3"/>
      <c r="C52" s="331"/>
      <c r="D52" s="48" t="s">
        <v>86</v>
      </c>
      <c r="E52" s="49">
        <f t="array" ref="E52">SUM(COUNTIF(E$9:E$37,{"3";"C1, 3";"C2, 3";"3, C1";"3, C2";"3, S2";"S2, 3"}))</f>
        <v>0</v>
      </c>
      <c r="F52" s="49">
        <f t="array" ref="F52">SUM(COUNTIF(F$9:F$37,{"3";"C1, 3";"C2, 3";"3, C1";"3, C2";"3, S2";"S2, 3"}))</f>
        <v>2</v>
      </c>
      <c r="G52" s="49">
        <f t="array" ref="G52">SUM(COUNTIF(G$9:G$37,{"3";"C1, 3";"C2, 3";"3, C1";"3, C2";"3, S2";"S2, 3"}))</f>
        <v>2</v>
      </c>
      <c r="H52" s="49">
        <f t="array" ref="H52">SUM(COUNTIF(H$9:H$37,{"3";"C1, 3";"C2, 3";"3, C1";"3, C2";"3, S2";"S2, 3"}))</f>
        <v>2</v>
      </c>
      <c r="I52" s="49">
        <f t="array" ref="I52">SUM(COUNTIF(I$9:I$37,{"3";"C1, 3";"C2, 3";"3, C1";"3, C2";"3, S2";"S2, 3"}))</f>
        <v>1</v>
      </c>
      <c r="J52" s="49">
        <f t="array" ref="J52">SUM(COUNTIF(J$9:J$37,{"3";"C1, 3";"C2, 3";"3, C1";"3, C2";"3, S2";"S2, 3"}))</f>
        <v>1</v>
      </c>
      <c r="K52" s="49">
        <f t="array" ref="K52">SUM(COUNTIF(K$9:K$37,{"3";"C1, 3";"C2, 3";"3, C1";"3, C2";"3, S2";"S2, 3"}))</f>
        <v>1</v>
      </c>
      <c r="L52" s="49">
        <f t="array" ref="L52">SUM(COUNTIF(L$9:L$37,{"3";"C1, 3";"C2, 3";"3, C1";"3, C2";"3, S2";"S2, 3"}))</f>
        <v>1</v>
      </c>
      <c r="M52" s="49">
        <f t="array" ref="M52">SUM(COUNTIF(M$9:M$37,{"3";"C1, 3";"C2, 3";"3, C1";"3, C2";"3, S2";"S2, 3"}))</f>
        <v>1</v>
      </c>
      <c r="N52" s="49">
        <f t="array" ref="N52">SUM(COUNTIF(N$9:N$37,{"3";"C1, 3";"C2, 3";"3, C1";"3, C2";"3, S2";"S2, 3"}))</f>
        <v>1</v>
      </c>
      <c r="O52" s="49">
        <f t="array" ref="O52">SUM(COUNTIF(O$9:O$37,{"3";"C1, 3";"C2, 3";"3, C1";"3, C2";"3, S2";"S2, 3"}))</f>
        <v>2</v>
      </c>
      <c r="P52" s="49">
        <f t="array" ref="P52">SUM(COUNTIF(P$9:P$37,{"3";"C1, 3";"C2, 3";"3, C1";"3, C2";"3, S2";"S2, 3"}))</f>
        <v>2</v>
      </c>
      <c r="Q52" s="49">
        <f t="array" ref="Q52">SUM(COUNTIF(Q$9:Q$37,{"3";"C1, 3";"C2, 3";"3, C1";"3, C2";"3, S2";"S2, 3"}))</f>
        <v>1</v>
      </c>
      <c r="R52" s="49">
        <f t="array" ref="R52">SUM(COUNTIF(R$9:R$37,{"3";"C1, 3";"C2, 3";"3, C1";"3, C2";"3, S2";"S2, 3"}))</f>
        <v>1</v>
      </c>
      <c r="S52" s="49">
        <f t="array" ref="S52">SUM(COUNTIF(S$9:S$37,{"3";"C1, 3";"C2, 3";"3, C1";"3, C2";"3, S2";"S2, 3"}))</f>
        <v>1</v>
      </c>
      <c r="T52" s="49">
        <f t="array" ref="T52">SUM(COUNTIF(T$9:T$37,{"3";"C1, 3";"C2, 3";"3, C1";"3, C2";"3, S2";"S2, 3"}))</f>
        <v>1</v>
      </c>
      <c r="U52" s="49">
        <f t="array" ref="U52">SUM(COUNTIF(U$9:U$37,{"3";"C1, 3";"C2, 3";"3, C1";"3, C2";"3, S2";"S2, 3"}))</f>
        <v>3</v>
      </c>
      <c r="V52" s="49">
        <f t="array" ref="V52">SUM(COUNTIF(V$9:V$37,{"3";"C1, 3";"C2, 3";"3, C1";"3, C2";"3, S2";"S2, 3"}))</f>
        <v>2</v>
      </c>
      <c r="W52" s="49">
        <f t="array" ref="W52">SUM(COUNTIF(W$9:W$37,{"3";"C1, 3";"C2, 3";"3, C1";"3, C2";"3, S2";"S2, 3"}))</f>
        <v>2</v>
      </c>
      <c r="X52" s="49">
        <f t="array" ref="X52">SUM(COUNTIF(X$9:X$37,{"3";"C1, 3";"C2, 3";"3, C1";"3, C2";"3, S2";"S2, 3"}))</f>
        <v>2</v>
      </c>
      <c r="Y52" s="49">
        <f t="array" ref="Y52">SUM(COUNTIF(Y$9:Y$37,{"3";"C1, 3";"C2, 3";"3, C1";"3, C2";"3, S2";"S2, 3"}))</f>
        <v>1</v>
      </c>
      <c r="Z52" s="49">
        <f t="array" ref="Z52">SUM(COUNTIF(Z$9:Z$37,{"3";"C1, 3";"C2, 3";"3, C1";"3, C2";"3, S2";"S2, 3"}))</f>
        <v>2</v>
      </c>
      <c r="AA52" s="49">
        <f t="array" ref="AA52">SUM(COUNTIF(AA$9:AA$37,{"3";"C1, 3";"C2, 3";"3, C1";"3, C2";"3, S2";"S2, 3"}))</f>
        <v>2</v>
      </c>
      <c r="AB52" s="49">
        <f t="array" ref="AB52">SUM(COUNTIF(AB$9:AB$37,{"3";"C1, 3";"C2, 3";"3, C1";"3, C2";"3, S2";"S2, 3"}))</f>
        <v>2</v>
      </c>
      <c r="AC52" s="49">
        <f t="array" ref="AC52">SUM(COUNTIF(AC$9:AC$37,{"3";"C1, 3";"C2, 3";"3, C1";"3, C2";"3, S2";"S2, 3"}))</f>
        <v>1</v>
      </c>
      <c r="AD52" s="49">
        <f t="array" ref="AD52">SUM(COUNTIF(AD$9:AD$37,{"3";"C1, 3";"C2, 3";"3, C1";"3, C2";"3, S2";"S2, 3"}))</f>
        <v>2</v>
      </c>
      <c r="AE52" s="49">
        <f t="array" ref="AE52">SUM(COUNTIF(AE$9:AE$37,{"3";"C1, 3";"C2, 3";"3, C1";"3, C2";"3, S2";"S2, 3"}))</f>
        <v>0</v>
      </c>
      <c r="AF52" s="49">
        <f t="array" ref="AF52">SUM(COUNTIF(AF$9:AF$37,{"3";"C1, 3";"C2, 3";"3, C1";"3, C2";"3, S2";"S2, 3"}))</f>
        <v>0</v>
      </c>
      <c r="AG52" s="49">
        <f t="array" ref="AG52">SUM(COUNTIF(AG$9:AG$37,{"3";"C1, 3";"C2, 3";"3, C1";"3, C2";"3, S2";"S2, 3"}))</f>
        <v>0</v>
      </c>
      <c r="AH52" s="49">
        <f t="array" ref="AH52">SUM(COUNTIF(AH$9:AH$37,{"3";"C1, 3";"C2, 3";"3, C1";"3, C2";"3, S2";"S2, 3"}))</f>
        <v>0</v>
      </c>
      <c r="AI52" s="49">
        <f t="array" ref="AI52">SUM(COUNTIF(AI$9:AI$37,{"3";"C1, 3";"C2, 3";"3, C1";"3, C2";"3, S2";"S2, 3"}))</f>
        <v>0</v>
      </c>
      <c r="AJ52" s="50">
        <f t="shared" si="9"/>
        <v>39</v>
      </c>
      <c r="AK52" s="37"/>
      <c r="AL52" s="37"/>
      <c r="AM52" s="51"/>
      <c r="AN52" s="7"/>
      <c r="AO52" s="7"/>
      <c r="AP52" s="7"/>
      <c r="AQ52" s="47"/>
      <c r="AR52" s="7"/>
      <c r="AS52" s="47"/>
      <c r="AT52" s="7"/>
      <c r="AU52" s="4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"/>
    </row>
    <row r="53" spans="1:63" ht="15.75" customHeight="1">
      <c r="A53" s="3"/>
      <c r="B53" s="3"/>
      <c r="C53" s="331"/>
      <c r="D53" s="48" t="s">
        <v>187</v>
      </c>
      <c r="E53" s="49">
        <f t="array" ref="E53">SUM(COUNTIFS(E$9:E$37,"HCKT"))</f>
        <v>0</v>
      </c>
      <c r="F53" s="49">
        <f t="array" ref="F53">SUM(COUNTIFS(F$9:F$37,"HCKT"))</f>
        <v>0</v>
      </c>
      <c r="G53" s="49">
        <f t="array" ref="G53">SUM(COUNTIFS(G$9:G$37,"HCKT"))</f>
        <v>0</v>
      </c>
      <c r="H53" s="49">
        <f t="array" ref="H53">SUM(COUNTIFS(H$9:H$37,"HCKT"))</f>
        <v>0</v>
      </c>
      <c r="I53" s="49">
        <f t="array" ref="I53">SUM(COUNTIFS(I$9:I$37,"HCKT"))</f>
        <v>0</v>
      </c>
      <c r="J53" s="49">
        <f t="array" ref="J53">SUM(COUNTIFS(J$9:J$37,"HCKT"))</f>
        <v>0</v>
      </c>
      <c r="K53" s="49">
        <f t="array" ref="K53">SUM(COUNTIFS(K$9:K$37,"HCKT"))</f>
        <v>0</v>
      </c>
      <c r="L53" s="49">
        <f t="array" ref="L53">SUM(COUNTIFS(L$9:L$37,"HCKT"))</f>
        <v>0</v>
      </c>
      <c r="M53" s="49">
        <f t="array" ref="M53">SUM(COUNTIFS(M$9:M$37,"HCKT"))</f>
        <v>0</v>
      </c>
      <c r="N53" s="49">
        <f t="array" ref="N53">SUM(COUNTIFS(N$9:N$37,"HCKT"))</f>
        <v>0</v>
      </c>
      <c r="O53" s="49">
        <f t="array" ref="O53">SUM(COUNTIFS(O$9:O$37,"HCKT"))</f>
        <v>0</v>
      </c>
      <c r="P53" s="49">
        <f t="array" ref="P53">SUM(COUNTIFS(P$9:P$37,"HCKT"))</f>
        <v>0</v>
      </c>
      <c r="Q53" s="49">
        <f t="array" ref="Q53">SUM(COUNTIFS(Q$9:Q$37,"HCKT"))</f>
        <v>0</v>
      </c>
      <c r="R53" s="49">
        <f t="array" ref="R53">SUM(COUNTIFS(R$9:R$37,"HCKT"))</f>
        <v>0</v>
      </c>
      <c r="S53" s="49">
        <f t="array" ref="S53">SUM(COUNTIFS(S$9:S$37,"HCKT"))</f>
        <v>0</v>
      </c>
      <c r="T53" s="49">
        <f t="array" ref="T53">SUM(COUNTIFS(T$9:T$37,"HCKT"))</f>
        <v>0</v>
      </c>
      <c r="U53" s="49">
        <f t="array" ref="U53">SUM(COUNTIFS(U$9:U$37,"HCKT"))</f>
        <v>0</v>
      </c>
      <c r="V53" s="49">
        <f t="array" ref="V53">SUM(COUNTIFS(V$9:V$37,"HCKT"))</f>
        <v>0</v>
      </c>
      <c r="W53" s="49">
        <f t="array" ref="W53">SUM(COUNTIFS(W$9:W$37,"HCKT"))</f>
        <v>0</v>
      </c>
      <c r="X53" s="49">
        <f t="array" ref="X53">SUM(COUNTIFS(X$9:X$37,"HCKT"))</f>
        <v>0</v>
      </c>
      <c r="Y53" s="49">
        <f t="array" ref="Y53">SUM(COUNTIFS(Y$9:Y$37,"HCKT"))</f>
        <v>0</v>
      </c>
      <c r="Z53" s="49">
        <f t="array" ref="Z53">SUM(COUNTIFS(Z$9:Z$37,"HCKT"))</f>
        <v>0</v>
      </c>
      <c r="AA53" s="49">
        <f t="array" ref="AA53">SUM(COUNTIFS(AA$9:AA$37,"HCKT"))</f>
        <v>0</v>
      </c>
      <c r="AB53" s="49">
        <f t="array" ref="AB53">SUM(COUNTIFS(AB$9:AB$37,"HCKT"))</f>
        <v>0</v>
      </c>
      <c r="AC53" s="49">
        <f t="array" ref="AC53">SUM(COUNTIFS(AC$9:AC$37,"HCKT"))</f>
        <v>0</v>
      </c>
      <c r="AD53" s="49">
        <f t="array" ref="AD53">SUM(COUNTIFS(AD$9:AD$37,"HCKT"))</f>
        <v>0</v>
      </c>
      <c r="AE53" s="49">
        <f t="array" ref="AE53">SUM(COUNTIFS(AE$9:AE$37,"HCKT"))</f>
        <v>0</v>
      </c>
      <c r="AF53" s="49">
        <f t="array" ref="AF53">SUM(COUNTIFS(AF$9:AF$37,"HCKT"))</f>
        <v>0</v>
      </c>
      <c r="AG53" s="49">
        <f t="array" ref="AG53">SUM(COUNTIFS(AG$9:AG$37,"HCKT"))</f>
        <v>0</v>
      </c>
      <c r="AH53" s="49">
        <f t="array" ref="AH53">SUM(COUNTIFS(AH$9:AH$37,"HCKT"))</f>
        <v>0</v>
      </c>
      <c r="AI53" s="49">
        <f t="array" ref="AI53">SUM(COUNTIFS(AI$9:AI$37,"HCKT"))</f>
        <v>0</v>
      </c>
      <c r="AJ53" s="27">
        <f t="shared" si="9"/>
        <v>0</v>
      </c>
      <c r="AK53" s="37"/>
      <c r="AL53" s="37"/>
      <c r="AM53" s="51"/>
      <c r="AN53" s="7"/>
      <c r="AO53" s="7"/>
      <c r="AP53" s="7"/>
      <c r="AQ53" s="47"/>
      <c r="AR53" s="7"/>
      <c r="AS53" s="47"/>
      <c r="AT53" s="7"/>
      <c r="AU53" s="4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"/>
    </row>
    <row r="54" spans="1:63" ht="15.75" customHeight="1">
      <c r="A54" s="5"/>
      <c r="B54" s="5"/>
      <c r="C54" s="332"/>
      <c r="D54" s="33" t="s">
        <v>78</v>
      </c>
      <c r="E54" s="34">
        <f t="shared" ref="E54:AI54" si="13">SUM(E51:E53)</f>
        <v>0</v>
      </c>
      <c r="F54" s="34">
        <f t="shared" si="13"/>
        <v>27.5</v>
      </c>
      <c r="G54" s="34">
        <f t="shared" si="13"/>
        <v>28.5</v>
      </c>
      <c r="H54" s="34">
        <f t="shared" si="13"/>
        <v>22</v>
      </c>
      <c r="I54" s="34">
        <f t="shared" si="13"/>
        <v>17</v>
      </c>
      <c r="J54" s="34">
        <f t="shared" si="13"/>
        <v>27</v>
      </c>
      <c r="K54" s="34">
        <f t="shared" si="13"/>
        <v>27.5</v>
      </c>
      <c r="L54" s="34">
        <f t="shared" si="13"/>
        <v>27.5</v>
      </c>
      <c r="M54" s="34">
        <f t="shared" si="13"/>
        <v>28.5</v>
      </c>
      <c r="N54" s="34">
        <f t="shared" si="13"/>
        <v>25</v>
      </c>
      <c r="O54" s="34">
        <f t="shared" si="13"/>
        <v>19</v>
      </c>
      <c r="P54" s="34">
        <f t="shared" si="13"/>
        <v>17.5</v>
      </c>
      <c r="Q54" s="34">
        <f t="shared" si="13"/>
        <v>24.5</v>
      </c>
      <c r="R54" s="34">
        <f t="shared" si="13"/>
        <v>23.5</v>
      </c>
      <c r="S54" s="34">
        <f t="shared" si="13"/>
        <v>23</v>
      </c>
      <c r="T54" s="34">
        <f t="shared" si="13"/>
        <v>23</v>
      </c>
      <c r="U54" s="34">
        <f t="shared" si="13"/>
        <v>24.5</v>
      </c>
      <c r="V54" s="34">
        <f t="shared" si="13"/>
        <v>19</v>
      </c>
      <c r="W54" s="34">
        <f t="shared" si="13"/>
        <v>16.5</v>
      </c>
      <c r="X54" s="34">
        <f t="shared" si="13"/>
        <v>25.5</v>
      </c>
      <c r="Y54" s="34">
        <f t="shared" si="13"/>
        <v>21.5</v>
      </c>
      <c r="Z54" s="34">
        <f t="shared" si="13"/>
        <v>22</v>
      </c>
      <c r="AA54" s="34">
        <f t="shared" si="13"/>
        <v>22</v>
      </c>
      <c r="AB54" s="34">
        <f t="shared" si="13"/>
        <v>21.5</v>
      </c>
      <c r="AC54" s="34">
        <f t="shared" si="13"/>
        <v>16.5</v>
      </c>
      <c r="AD54" s="34">
        <f t="shared" si="13"/>
        <v>15.5</v>
      </c>
      <c r="AE54" s="34">
        <f t="shared" si="13"/>
        <v>0</v>
      </c>
      <c r="AF54" s="34">
        <f t="shared" si="13"/>
        <v>0</v>
      </c>
      <c r="AG54" s="34">
        <f t="shared" si="13"/>
        <v>0</v>
      </c>
      <c r="AH54" s="34">
        <f t="shared" si="13"/>
        <v>0</v>
      </c>
      <c r="AI54" s="34">
        <f t="shared" si="13"/>
        <v>0</v>
      </c>
      <c r="AJ54" s="34">
        <f t="shared" si="9"/>
        <v>565.5</v>
      </c>
      <c r="AK54" s="37"/>
      <c r="AL54" s="37"/>
      <c r="AM54" s="51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52"/>
    </row>
    <row r="55" spans="1:63" ht="13.5" customHeight="1">
      <c r="A55" s="5"/>
      <c r="B55" s="5"/>
      <c r="C55" s="330" t="s">
        <v>230</v>
      </c>
      <c r="D55" s="23" t="s">
        <v>12</v>
      </c>
      <c r="E55" s="26">
        <f t="array" ref="E55">SUM(COUNTIFS(E$9:E$37,{"L 1";"L 1, C1";"L 1, C2";"L C2, 1";"L C1, 1"}))</f>
        <v>1</v>
      </c>
      <c r="F55" s="26">
        <f t="array" ref="F55">SUM(COUNTIFS(F$9:F$37,{"L 1";"L 1, C1";"L 1, C2";"L C2, 1";"L C1, 1"}))</f>
        <v>0</v>
      </c>
      <c r="G55" s="26">
        <f t="array" ref="G55">SUM(COUNTIFS(G$9:G$37,{"L 1";"L 1, C1";"L 1, C2";"L C2, 1";"L C1, 1"}))</f>
        <v>0</v>
      </c>
      <c r="H55" s="26">
        <f t="array" ref="H55">SUM(COUNTIFS(H$9:H$37,{"L 1";"L 1, C1";"L 1, C2";"L C2, 1";"L C1, 1"}))</f>
        <v>0</v>
      </c>
      <c r="I55" s="26">
        <f t="array" ref="I55">SUM(COUNTIFS(I$9:I$37,{"L 1";"L 1, C1";"L 1, C2";"L C2, 1";"L C1, 1"}))</f>
        <v>0</v>
      </c>
      <c r="J55" s="26">
        <f t="array" ref="J55">SUM(COUNTIFS(J$9:J$37,{"L 1";"L 1, C1";"L 1, C2";"L C2, 1";"L C1, 1"}))</f>
        <v>0</v>
      </c>
      <c r="K55" s="26">
        <f t="array" ref="K55">SUM(COUNTIFS(K$9:K$37,{"L 1";"L 1, C1";"L 1, C2";"L C2, 1";"L C1, 1"}))</f>
        <v>0</v>
      </c>
      <c r="L55" s="26">
        <f t="array" ref="L55">SUM(COUNTIFS(L$9:L$37,{"L 1";"L 1, C1";"L 1, C2";"L C2, 1";"L C1, 1"}))</f>
        <v>0</v>
      </c>
      <c r="M55" s="26">
        <f t="array" ref="M55">SUM(COUNTIFS(M$9:M$37,{"L 1";"L 1, C1";"L 1, C2";"L C2, 1";"L C1, 1"}))</f>
        <v>0</v>
      </c>
      <c r="N55" s="26">
        <f t="array" ref="N55">SUM(COUNTIFS(N$9:N$37,{"L 1";"L 1, C1";"L 1, C2";"L C2, 1";"L C1, 1"}))</f>
        <v>0</v>
      </c>
      <c r="O55" s="26">
        <f t="array" ref="O55">SUM(COUNTIFS(O$9:O$37,{"L 1";"L 1, C1";"L 1, C2";"L C2, 1";"L C1, 1"}))</f>
        <v>0</v>
      </c>
      <c r="P55" s="26">
        <f t="array" ref="P55">SUM(COUNTIFS(P$9:P$37,{"L 1";"L 1, C1";"L 1, C2";"L C2, 1";"L C1, 1"}))</f>
        <v>0</v>
      </c>
      <c r="Q55" s="26">
        <f t="array" ref="Q55">SUM(COUNTIFS(Q$9:Q$37,{"L 1";"L 1, C1";"L 1, C2";"L C2, 1";"L C1, 1"}))</f>
        <v>0</v>
      </c>
      <c r="R55" s="26">
        <f t="array" ref="R55">SUM(COUNTIFS(R$9:R$37,{"L 1";"L 1, C1";"L 1, C2";"L C2, 1";"L C1, 1"}))</f>
        <v>0</v>
      </c>
      <c r="S55" s="26">
        <f t="array" ref="S55">SUM(COUNTIFS(S$9:S$37,{"L 1";"L 1, C1";"L 1, C2";"L C2, 1";"L C1, 1"}))</f>
        <v>0</v>
      </c>
      <c r="T55" s="26">
        <f t="array" ref="T55">SUM(COUNTIFS(T$9:T$37,{"L 1";"L 1, C1";"L 1, C2";"L C2, 1";"L C1, 1"}))</f>
        <v>0</v>
      </c>
      <c r="U55" s="26">
        <f t="array" ref="U55">SUM(COUNTIFS(U$9:U$37,{"L 1";"L 1, C1";"L 1, C2";"L C2, 1";"L C1, 1"}))</f>
        <v>0</v>
      </c>
      <c r="V55" s="26">
        <f t="array" ref="V55">SUM(COUNTIFS(V$9:V$37,{"L 1";"L 1, C1";"L 1, C2";"L C2, 1";"L C1, 1"}))</f>
        <v>0</v>
      </c>
      <c r="W55" s="26">
        <f t="array" ref="W55">SUM(COUNTIFS(W$9:W$37,{"L 1";"L 1, C1";"L 1, C2";"L C2, 1";"L C1, 1"}))</f>
        <v>0</v>
      </c>
      <c r="X55" s="26">
        <f t="array" ref="X55">SUM(COUNTIFS(X$9:X$37,{"L 1";"L 1, C1";"L 1, C2";"L C2, 1";"L C1, 1"}))</f>
        <v>0</v>
      </c>
      <c r="Y55" s="26">
        <f t="array" ref="Y55">SUM(COUNTIFS(Y$9:Y$37,{"L 1";"L 1, C1";"L 1, C2";"L C2, 1";"L C1, 1"}))</f>
        <v>0</v>
      </c>
      <c r="Z55" s="26">
        <f t="array" ref="Z55">SUM(COUNTIFS(Z$9:Z$37,{"L 1";"L 1, C1";"L 1, C2";"L C2, 1";"L C1, 1"}))</f>
        <v>0</v>
      </c>
      <c r="AA55" s="26">
        <f t="array" ref="AA55">SUM(COUNTIFS(AA$9:AA$37,{"L 1";"L 1, C1";"L 1, C2";"L C2, 1";"L C1, 1"}))</f>
        <v>0</v>
      </c>
      <c r="AB55" s="26">
        <f t="array" ref="AB55">SUM(COUNTIFS(AB$9:AB$37,{"L 1";"L 1, C1";"L 1, C2";"L C2, 1";"L C1, 1"}))</f>
        <v>0</v>
      </c>
      <c r="AC55" s="26">
        <f t="array" ref="AC55">SUM(COUNTIFS(AC$9:AC$37,{"L 1";"L 1, C1";"L 1, C2";"L C2, 1";"L C1, 1"}))</f>
        <v>0</v>
      </c>
      <c r="AD55" s="26">
        <f t="array" ref="AD55">SUM(COUNTIFS(AD$9:AD$37,{"L 1";"L 1, C1";"L 1, C2";"L C2, 1";"L C1, 1"}))</f>
        <v>0</v>
      </c>
      <c r="AE55" s="26">
        <f t="array" ref="AE55">SUM(COUNTIFS(AE$9:AE$37,{"L 1";"L 1, C1";"L 1, C2";"L C2, 1";"L C1, 1"}))</f>
        <v>0</v>
      </c>
      <c r="AF55" s="26">
        <f t="array" ref="AF55">SUM(COUNTIFS(AF$9:AF$37,{"L 1";"L 1, C1";"L 1, C2";"L C2, 1";"L C1, 1"}))</f>
        <v>1</v>
      </c>
      <c r="AG55" s="26">
        <f t="array" ref="AG55">SUM(COUNTIFS(AG$9:AG$37,{"L 1";"L 1, C1";"L 1, C2";"L C2, 1";"L C1, 1"}))</f>
        <v>1</v>
      </c>
      <c r="AH55" s="26">
        <f t="array" ref="AH55">SUM(COUNTIFS(AH$9:AH$37,{"L 1";"L 1, C1";"L 1, C2";"L C2, 1";"L C1, 1"}))</f>
        <v>1</v>
      </c>
      <c r="AI55" s="26">
        <f t="array" ref="AI55">SUM(COUNTIFS(AI$9:AI$37,{"L 1";"L 1, C1";"L 1, C2";"L C2, 1";"L C1, 1"}))</f>
        <v>1</v>
      </c>
      <c r="AJ55" s="50">
        <f t="shared" si="9"/>
        <v>5</v>
      </c>
      <c r="AK55" s="37"/>
      <c r="AL55" s="37"/>
      <c r="AM55" s="51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52"/>
    </row>
    <row r="56" spans="1:63" ht="15.75" customHeight="1">
      <c r="A56" s="5"/>
      <c r="B56" s="5"/>
      <c r="C56" s="331"/>
      <c r="D56" s="23" t="s">
        <v>13</v>
      </c>
      <c r="E56" s="26">
        <f t="array" ref="E56">SUM(COUNTIF(E$9:E$37,"L S1"))/2</f>
        <v>0</v>
      </c>
      <c r="F56" s="26">
        <f t="array" ref="F56">SUM(COUNTIF(F$9:F$37,"L S1"))/2</f>
        <v>0</v>
      </c>
      <c r="G56" s="26">
        <f t="array" ref="G56">SUM(COUNTIF(G$9:G$37,"L S1"))/2</f>
        <v>0</v>
      </c>
      <c r="H56" s="26">
        <f t="array" ref="H56">SUM(COUNTIF(H$9:H$37,"L S1"))/2</f>
        <v>0</v>
      </c>
      <c r="I56" s="26">
        <f t="array" ref="I56">SUM(COUNTIF(I$9:I$37,"L S1"))/2</f>
        <v>0</v>
      </c>
      <c r="J56" s="26">
        <f t="array" ref="J56">SUM(COUNTIF(J$9:J$37,"L S1"))/2</f>
        <v>0</v>
      </c>
      <c r="K56" s="26">
        <f t="array" ref="K56">SUM(COUNTIF(K$9:K$37,"L S1"))/2</f>
        <v>0</v>
      </c>
      <c r="L56" s="26">
        <f t="array" ref="L56">SUM(COUNTIF(L$9:L$37,"L S1"))/2</f>
        <v>0</v>
      </c>
      <c r="M56" s="26">
        <f t="array" ref="M56">SUM(COUNTIF(M$9:M$37,"L S1"))/2</f>
        <v>0</v>
      </c>
      <c r="N56" s="26">
        <f t="array" ref="N56">SUM(COUNTIF(N$9:N$37,"L S1"))/2</f>
        <v>0</v>
      </c>
      <c r="O56" s="26">
        <f t="array" ref="O56">SUM(COUNTIF(O$9:O$37,"L S1"))/2</f>
        <v>0</v>
      </c>
      <c r="P56" s="26">
        <f t="array" ref="P56">SUM(COUNTIF(P$9:P$37,"L S1"))/2</f>
        <v>0</v>
      </c>
      <c r="Q56" s="26">
        <f t="array" ref="Q56">SUM(COUNTIF(Q$9:Q$37,"L S1"))/2</f>
        <v>0</v>
      </c>
      <c r="R56" s="26">
        <f t="array" ref="R56">SUM(COUNTIF(R$9:R$37,"L S1"))/2</f>
        <v>0</v>
      </c>
      <c r="S56" s="26">
        <f t="array" ref="S56">SUM(COUNTIF(S$9:S$37,"L S1"))/2</f>
        <v>0</v>
      </c>
      <c r="T56" s="26">
        <f t="array" ref="T56">SUM(COUNTIF(T$9:T$37,"L S1"))/2</f>
        <v>0</v>
      </c>
      <c r="U56" s="26">
        <f t="array" ref="U56">SUM(COUNTIF(U$9:U$37,"L S1"))/2</f>
        <v>0</v>
      </c>
      <c r="V56" s="26">
        <f t="array" ref="V56">SUM(COUNTIF(V$9:V$37,"L S1"))/2</f>
        <v>0</v>
      </c>
      <c r="W56" s="26">
        <f t="array" ref="W56">SUM(COUNTIF(W$9:W$37,"L S1"))/2</f>
        <v>0</v>
      </c>
      <c r="X56" s="26">
        <f t="array" ref="X56">SUM(COUNTIF(X$9:X$37,"L S1"))/2</f>
        <v>0</v>
      </c>
      <c r="Y56" s="26">
        <f t="array" ref="Y56">SUM(COUNTIF(Y$9:Y$37,"L S1"))/2</f>
        <v>0</v>
      </c>
      <c r="Z56" s="26">
        <f t="array" ref="Z56">SUM(COUNTIF(Z$9:Z$37,"L S1"))/2</f>
        <v>0</v>
      </c>
      <c r="AA56" s="26">
        <f t="array" ref="AA56">SUM(COUNTIF(AA$9:AA$37,"L S1"))/2</f>
        <v>0</v>
      </c>
      <c r="AB56" s="26">
        <f t="array" ref="AB56">SUM(COUNTIF(AB$9:AB$37,"L S1"))/2</f>
        <v>0</v>
      </c>
      <c r="AC56" s="26">
        <f t="array" ref="AC56">SUM(COUNTIF(AC$9:AC$37,"L S1"))/2</f>
        <v>0</v>
      </c>
      <c r="AD56" s="26">
        <f t="array" ref="AD56">SUM(COUNTIF(AD$9:AD$37,"L S1"))/2</f>
        <v>0</v>
      </c>
      <c r="AE56" s="26">
        <f t="array" ref="AE56">SUM(COUNTIF(AE$9:AE$37,"L S1"))/2</f>
        <v>0</v>
      </c>
      <c r="AF56" s="26">
        <f t="array" ref="AF56">SUM(COUNTIF(AF$9:AF$37,"L S1"))/2</f>
        <v>0</v>
      </c>
      <c r="AG56" s="26">
        <f t="array" ref="AG56">SUM(COUNTIF(AG$9:AG$37,"L S1"))/2</f>
        <v>0</v>
      </c>
      <c r="AH56" s="26">
        <f t="array" ref="AH56">SUM(COUNTIF(AH$9:AH$37,"L S1"))/2</f>
        <v>0</v>
      </c>
      <c r="AI56" s="26">
        <f t="array" ref="AI56">SUM(COUNTIF(AI$9:AI$37,"L S1"))/2</f>
        <v>0</v>
      </c>
      <c r="AJ56" s="50">
        <f t="shared" si="9"/>
        <v>0</v>
      </c>
      <c r="AK56" s="37"/>
      <c r="AL56" s="37"/>
      <c r="AM56" s="51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52"/>
    </row>
    <row r="57" spans="1:63" ht="15.75" customHeight="1">
      <c r="A57" s="5"/>
      <c r="B57" s="5"/>
      <c r="C57" s="331"/>
      <c r="D57" s="23" t="s">
        <v>14</v>
      </c>
      <c r="E57" s="26">
        <f t="array" ref="E57">SUM(COUNTIF(E$9:E$37,{"L S2";"L S2, 2";"L S2, C1";"L S2, C2";"L 2, S2";"L C1, S2";"L C2, S2";"L 3, S2";"L S2, 3"}))/2</f>
        <v>2</v>
      </c>
      <c r="F57" s="26">
        <f t="array" ref="F57">SUM(COUNTIF(F$9:F$37,{"L S2";"L S2, 2";"L S2, C1";"L S2, C2";"L 2, S2";"L C1, S2";"L C2, S2";"L 3, S2";"L S2, 3"}))/2</f>
        <v>0</v>
      </c>
      <c r="G57" s="26">
        <f t="array" ref="G57">SUM(COUNTIF(G$9:G$37,{"L S2";"L S2, 2";"L S2, C1";"L S2, C2";"L 2, S2";"L C1, S2";"L C2, S2";"L 3, S2";"L S2, 3"}))/2</f>
        <v>0</v>
      </c>
      <c r="H57" s="26">
        <f t="array" ref="H57">SUM(COUNTIF(H$9:H$37,{"L S2";"L S2, 2";"L S2, C1";"L S2, C2";"L 2, S2";"L C1, S2";"L C2, S2";"L 3, S2";"L S2, 3"}))/2</f>
        <v>0</v>
      </c>
      <c r="I57" s="26">
        <f t="array" ref="I57">SUM(COUNTIF(I$9:I$37,{"L S2";"L S2, 2";"L S2, C1";"L S2, C2";"L 2, S2";"L C1, S2";"L C2, S2";"L 3, S2";"L S2, 3"}))/2</f>
        <v>0</v>
      </c>
      <c r="J57" s="26">
        <f t="array" ref="J57">SUM(COUNTIF(J$9:J$37,{"L S2";"L S2, 2";"L S2, C1";"L S2, C2";"L 2, S2";"L C1, S2";"L C2, S2";"L 3, S2";"L S2, 3"}))/2</f>
        <v>0</v>
      </c>
      <c r="K57" s="26">
        <f t="array" ref="K57">SUM(COUNTIF(K$9:K$37,{"L S2";"L S2, 2";"L S2, C1";"L S2, C2";"L 2, S2";"L C1, S2";"L C2, S2";"L 3, S2";"L S2, 3"}))/2</f>
        <v>0</v>
      </c>
      <c r="L57" s="26">
        <f t="array" ref="L57">SUM(COUNTIF(L$9:L$37,{"L S2";"L S2, 2";"L S2, C1";"L S2, C2";"L 2, S2";"L C1, S2";"L C2, S2";"L 3, S2";"L S2, 3"}))/2</f>
        <v>0</v>
      </c>
      <c r="M57" s="26">
        <f t="array" ref="M57">SUM(COUNTIF(M$9:M$37,{"L S2";"L S2, 2";"L S2, C1";"L S2, C2";"L 2, S2";"L C1, S2";"L C2, S2";"L 3, S2";"L S2, 3"}))/2</f>
        <v>0</v>
      </c>
      <c r="N57" s="26">
        <f t="array" ref="N57">SUM(COUNTIF(N$9:N$37,{"L S2";"L S2, 2";"L S2, C1";"L S2, C2";"L 2, S2";"L C1, S2";"L C2, S2";"L 3, S2";"L S2, 3"}))/2</f>
        <v>0</v>
      </c>
      <c r="O57" s="26">
        <f t="array" ref="O57">SUM(COUNTIF(O$9:O$37,{"L S2";"L S2, 2";"L S2, C1";"L S2, C2";"L 2, S2";"L C1, S2";"L C2, S2";"L 3, S2";"L S2, 3"}))/2</f>
        <v>0</v>
      </c>
      <c r="P57" s="26">
        <f t="array" ref="P57">SUM(COUNTIF(P$9:P$37,{"L S2";"L S2, 2";"L S2, C1";"L S2, C2";"L 2, S2";"L C1, S2";"L C2, S2";"L 3, S2";"L S2, 3"}))/2</f>
        <v>0</v>
      </c>
      <c r="Q57" s="26">
        <f t="array" ref="Q57">SUM(COUNTIF(Q$9:Q$37,{"L S2";"L S2, 2";"L S2, C1";"L S2, C2";"L 2, S2";"L C1, S2";"L C2, S2";"L 3, S2";"L S2, 3"}))/2</f>
        <v>0</v>
      </c>
      <c r="R57" s="26">
        <f t="array" ref="R57">SUM(COUNTIF(R$9:R$37,{"L S2";"L S2, 2";"L S2, C1";"L S2, C2";"L 2, S2";"L C1, S2";"L C2, S2";"L 3, S2";"L S2, 3"}))/2</f>
        <v>0</v>
      </c>
      <c r="S57" s="26">
        <f t="array" ref="S57">SUM(COUNTIF(S$9:S$37,{"L S2";"L S2, 2";"L S2, C1";"L S2, C2";"L 2, S2";"L C1, S2";"L C2, S2";"L 3, S2";"L S2, 3"}))/2</f>
        <v>0</v>
      </c>
      <c r="T57" s="26">
        <f t="array" ref="T57">SUM(COUNTIF(T$9:T$37,{"L S2";"L S2, 2";"L S2, C1";"L S2, C2";"L 2, S2";"L C1, S2";"L C2, S2";"L 3, S2";"L S2, 3"}))/2</f>
        <v>0</v>
      </c>
      <c r="U57" s="26">
        <f t="array" ref="U57">SUM(COUNTIF(U$9:U$37,{"L S2";"L S2, 2";"L S2, C1";"L S2, C2";"L 2, S2";"L C1, S2";"L C2, S2";"L 3, S2";"L S2, 3"}))/2</f>
        <v>0</v>
      </c>
      <c r="V57" s="26">
        <f t="array" ref="V57">SUM(COUNTIF(V$9:V$37,{"L S2";"L S2, 2";"L S2, C1";"L S2, C2";"L 2, S2";"L C1, S2";"L C2, S2";"L 3, S2";"L S2, 3"}))/2</f>
        <v>0</v>
      </c>
      <c r="W57" s="26">
        <f t="array" ref="W57">SUM(COUNTIF(W$9:W$37,{"L S2";"L S2, 2";"L S2, C1";"L S2, C2";"L 2, S2";"L C1, S2";"L C2, S2";"L 3, S2";"L S2, 3"}))/2</f>
        <v>0</v>
      </c>
      <c r="X57" s="26">
        <f t="array" ref="X57">SUM(COUNTIF(X$9:X$37,{"L S2";"L S2, 2";"L S2, C1";"L S2, C2";"L 2, S2";"L C1, S2";"L C2, S2";"L 3, S2";"L S2, 3"}))/2</f>
        <v>0</v>
      </c>
      <c r="Y57" s="26">
        <f t="array" ref="Y57">SUM(COUNTIF(Y$9:Y$37,{"L S2";"L S2, 2";"L S2, C1";"L S2, C2";"L 2, S2";"L C1, S2";"L C2, S2";"L 3, S2";"L S2, 3"}))/2</f>
        <v>0</v>
      </c>
      <c r="Z57" s="26">
        <f t="array" ref="Z57">SUM(COUNTIF(Z$9:Z$37,{"L S2";"L S2, 2";"L S2, C1";"L S2, C2";"L 2, S2";"L C1, S2";"L C2, S2";"L 3, S2";"L S2, 3"}))/2</f>
        <v>0</v>
      </c>
      <c r="AA57" s="26">
        <f t="array" ref="AA57">SUM(COUNTIF(AA$9:AA$37,{"L S2";"L S2, 2";"L S2, C1";"L S2, C2";"L 2, S2";"L C1, S2";"L C2, S2";"L 3, S2";"L S2, 3"}))/2</f>
        <v>0</v>
      </c>
      <c r="AB57" s="26">
        <f t="array" ref="AB57">SUM(COUNTIF(AB$9:AB$37,{"L S2";"L S2, 2";"L S2, C1";"L S2, C2";"L 2, S2";"L C1, S2";"L C2, S2";"L 3, S2";"L S2, 3"}))/2</f>
        <v>0</v>
      </c>
      <c r="AC57" s="26">
        <f t="array" ref="AC57">SUM(COUNTIF(AC$9:AC$37,{"L S2";"L S2, 2";"L S2, C1";"L S2, C2";"L 2, S2";"L C1, S2";"L C2, S2";"L 3, S2";"L S2, 3"}))/2</f>
        <v>0</v>
      </c>
      <c r="AD57" s="26">
        <f t="array" ref="AD57">SUM(COUNTIF(AD$9:AD$37,{"L S2";"L S2, 2";"L S2, C1";"L S2, C2";"L 2, S2";"L C1, S2";"L C2, S2";"L 3, S2";"L S2, 3"}))/2</f>
        <v>0</v>
      </c>
      <c r="AE57" s="26">
        <f t="array" ref="AE57">SUM(COUNTIF(AE$9:AE$37,{"L S2";"L S2, 2";"L S2, C1";"L S2, C2";"L 2, S2";"L C1, S2";"L C2, S2";"L 3, S2";"L S2, 3"}))/2</f>
        <v>1.5</v>
      </c>
      <c r="AF57" s="26">
        <f t="array" ref="AF57">SUM(COUNTIF(AF$9:AF$37,{"L S2";"L S2, 2";"L S2, C1";"L S2, C2";"L 2, S2";"L C1, S2";"L C2, S2";"L 3, S2";"L S2, 3"}))/2</f>
        <v>1.5</v>
      </c>
      <c r="AG57" s="26">
        <f t="array" ref="AG57">SUM(COUNTIF(AG$9:AG$37,{"L S2";"L S2, 2";"L S2, C1";"L S2, C2";"L 2, S2";"L C1, S2";"L C2, S2";"L 3, S2";"L S2, 3"}))/2</f>
        <v>0.5</v>
      </c>
      <c r="AH57" s="26">
        <f t="array" ref="AH57">SUM(COUNTIF(AH$9:AH$37,{"L S2";"L S2, 2";"L S2, C1";"L S2, C2";"L 2, S2";"L C1, S2";"L C2, S2";"L 3, S2";"L S2, 3"}))/2</f>
        <v>1</v>
      </c>
      <c r="AI57" s="26">
        <f t="array" ref="AI57">SUM(COUNTIF(AI$9:AI$37,{"L S2";"L S2, 2";"L S2, C1";"L S2, C2";"L 2, S2";"L C1, S2";"L C2, S2";"L 3, S2";"L S2, 3"}))/2</f>
        <v>1</v>
      </c>
      <c r="AJ57" s="50">
        <f t="shared" si="9"/>
        <v>7.5</v>
      </c>
      <c r="AK57" s="37"/>
      <c r="AL57" s="37"/>
      <c r="AM57" s="51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52"/>
    </row>
    <row r="58" spans="1:63" ht="15.75" customHeight="1">
      <c r="A58" s="5"/>
      <c r="B58" s="5"/>
      <c r="C58" s="331"/>
      <c r="D58" s="48" t="s">
        <v>181</v>
      </c>
      <c r="E58" s="49">
        <f t="shared" ref="E58:AI58" si="14">E55+E56+E57</f>
        <v>3</v>
      </c>
      <c r="F58" s="49">
        <f t="shared" si="14"/>
        <v>0</v>
      </c>
      <c r="G58" s="49">
        <f t="shared" si="14"/>
        <v>0</v>
      </c>
      <c r="H58" s="49">
        <f t="shared" si="14"/>
        <v>0</v>
      </c>
      <c r="I58" s="49">
        <f t="shared" si="14"/>
        <v>0</v>
      </c>
      <c r="J58" s="49">
        <f t="shared" si="14"/>
        <v>0</v>
      </c>
      <c r="K58" s="49">
        <f t="shared" si="14"/>
        <v>0</v>
      </c>
      <c r="L58" s="49">
        <f t="shared" si="14"/>
        <v>0</v>
      </c>
      <c r="M58" s="49">
        <f t="shared" si="14"/>
        <v>0</v>
      </c>
      <c r="N58" s="49">
        <f t="shared" si="14"/>
        <v>0</v>
      </c>
      <c r="O58" s="49">
        <f t="shared" si="14"/>
        <v>0</v>
      </c>
      <c r="P58" s="49">
        <f t="shared" si="14"/>
        <v>0</v>
      </c>
      <c r="Q58" s="49">
        <f t="shared" si="14"/>
        <v>0</v>
      </c>
      <c r="R58" s="49">
        <f t="shared" si="14"/>
        <v>0</v>
      </c>
      <c r="S58" s="49">
        <f t="shared" si="14"/>
        <v>0</v>
      </c>
      <c r="T58" s="49">
        <f t="shared" si="14"/>
        <v>0</v>
      </c>
      <c r="U58" s="49">
        <f t="shared" si="14"/>
        <v>0</v>
      </c>
      <c r="V58" s="49">
        <f t="shared" si="14"/>
        <v>0</v>
      </c>
      <c r="W58" s="49">
        <f t="shared" si="14"/>
        <v>0</v>
      </c>
      <c r="X58" s="49">
        <f t="shared" si="14"/>
        <v>0</v>
      </c>
      <c r="Y58" s="49">
        <f t="shared" si="14"/>
        <v>0</v>
      </c>
      <c r="Z58" s="49">
        <f t="shared" si="14"/>
        <v>0</v>
      </c>
      <c r="AA58" s="49">
        <f t="shared" si="14"/>
        <v>0</v>
      </c>
      <c r="AB58" s="49">
        <f t="shared" si="14"/>
        <v>0</v>
      </c>
      <c r="AC58" s="49">
        <f t="shared" si="14"/>
        <v>0</v>
      </c>
      <c r="AD58" s="49">
        <f t="shared" si="14"/>
        <v>0</v>
      </c>
      <c r="AE58" s="49">
        <f t="shared" si="14"/>
        <v>1.5</v>
      </c>
      <c r="AF58" s="49">
        <f t="shared" si="14"/>
        <v>2.5</v>
      </c>
      <c r="AG58" s="49">
        <f t="shared" si="14"/>
        <v>1.5</v>
      </c>
      <c r="AH58" s="49">
        <f t="shared" si="14"/>
        <v>2</v>
      </c>
      <c r="AI58" s="49">
        <f t="shared" si="14"/>
        <v>2</v>
      </c>
      <c r="AJ58" s="50">
        <f t="shared" si="9"/>
        <v>12.5</v>
      </c>
      <c r="AK58" s="37"/>
      <c r="AL58" s="37"/>
      <c r="AM58" s="51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52"/>
    </row>
    <row r="59" spans="1:63" ht="15.75" customHeight="1">
      <c r="A59" s="5"/>
      <c r="B59" s="5"/>
      <c r="C59" s="331"/>
      <c r="D59" s="23" t="s">
        <v>15</v>
      </c>
      <c r="E59" s="26">
        <f t="array" ref="E59">SUM(COUNTIF(E$9:E$37,{"L 2";"L 2, S2";"L S2, 2"}))</f>
        <v>3</v>
      </c>
      <c r="F59" s="26">
        <f t="array" ref="F59">SUM(COUNTIF(F$9:F$37,{"L 2";"L 2, S2";"L S2, 2"}))</f>
        <v>0</v>
      </c>
      <c r="G59" s="26">
        <f t="array" ref="G59">SUM(COUNTIF(G$9:G$37,{"L 2";"L 2, S2";"L S2, 2"}))</f>
        <v>0</v>
      </c>
      <c r="H59" s="26">
        <f t="array" ref="H59">SUM(COUNTIF(H$9:H$37,{"L 2";"L 2, S2";"L S2, 2"}))</f>
        <v>0</v>
      </c>
      <c r="I59" s="26">
        <f t="array" ref="I59">SUM(COUNTIF(I$9:I$37,{"L 2";"L 2, S2";"L S2, 2"}))</f>
        <v>0</v>
      </c>
      <c r="J59" s="26">
        <f t="array" ref="J59">SUM(COUNTIF(J$9:J$37,{"L 2";"L 2, S2";"L S2, 2"}))</f>
        <v>0</v>
      </c>
      <c r="K59" s="26">
        <f t="array" ref="K59">SUM(COUNTIF(K$9:K$37,{"L 2";"L 2, S2";"L S2, 2"}))</f>
        <v>0</v>
      </c>
      <c r="L59" s="26">
        <f t="array" ref="L59">SUM(COUNTIF(L$9:L$37,{"L 2";"L 2, S2";"L S2, 2"}))</f>
        <v>0</v>
      </c>
      <c r="M59" s="26">
        <f t="array" ref="M59">SUM(COUNTIF(M$9:M$37,{"L 2";"L 2, S2";"L S2, 2"}))</f>
        <v>0</v>
      </c>
      <c r="N59" s="26">
        <f t="array" ref="N59">SUM(COUNTIF(N$9:N$37,{"L 2";"L 2, S2";"L S2, 2"}))</f>
        <v>0</v>
      </c>
      <c r="O59" s="26">
        <f t="array" ref="O59">SUM(COUNTIF(O$9:O$37,{"L 2";"L 2, S2";"L S2, 2"}))</f>
        <v>0</v>
      </c>
      <c r="P59" s="26">
        <f t="array" ref="P59">SUM(COUNTIF(P$9:P$37,{"L 2";"L 2, S2";"L S2, 2"}))</f>
        <v>0</v>
      </c>
      <c r="Q59" s="26">
        <f t="array" ref="Q59">SUM(COUNTIF(Q$9:Q$37,{"L 2";"L 2, S2";"L S2, 2"}))</f>
        <v>0</v>
      </c>
      <c r="R59" s="26">
        <f t="array" ref="R59">SUM(COUNTIF(R$9:R$37,{"L 2";"L 2, S2";"L S2, 2"}))</f>
        <v>0</v>
      </c>
      <c r="S59" s="26">
        <f t="array" ref="S59">SUM(COUNTIF(S$9:S$37,{"L 2";"L 2, S2";"L S2, 2"}))</f>
        <v>0</v>
      </c>
      <c r="T59" s="26">
        <f t="array" ref="T59">SUM(COUNTIF(T$9:T$37,{"L 2";"L 2, S2";"L S2, 2"}))</f>
        <v>0</v>
      </c>
      <c r="U59" s="26">
        <f t="array" ref="U59">SUM(COUNTIF(U$9:U$37,{"L 2";"L 2, S2";"L S2, 2"}))</f>
        <v>0</v>
      </c>
      <c r="V59" s="26">
        <f t="array" ref="V59">SUM(COUNTIF(V$9:V$37,{"L 2";"L 2, S2";"L S2, 2"}))</f>
        <v>0</v>
      </c>
      <c r="W59" s="26">
        <f t="array" ref="W59">SUM(COUNTIF(W$9:W$37,{"L 2";"L 2, S2";"L S2, 2"}))</f>
        <v>0</v>
      </c>
      <c r="X59" s="26">
        <f t="array" ref="X59">SUM(COUNTIF(X$9:X$37,{"L 2";"L 2, S2";"L S2, 2"}))</f>
        <v>0</v>
      </c>
      <c r="Y59" s="26">
        <f t="array" ref="Y59">SUM(COUNTIF(Y$9:Y$37,{"L 2";"L 2, S2";"L S2, 2"}))</f>
        <v>0</v>
      </c>
      <c r="Z59" s="26">
        <f t="array" ref="Z59">SUM(COUNTIF(Z$9:Z$37,{"L 2";"L 2, S2";"L S2, 2"}))</f>
        <v>0</v>
      </c>
      <c r="AA59" s="26">
        <f t="array" ref="AA59">SUM(COUNTIF(AA$9:AA$37,{"L 2";"L 2, S2";"L S2, 2"}))</f>
        <v>0</v>
      </c>
      <c r="AB59" s="26">
        <f t="array" ref="AB59">SUM(COUNTIF(AB$9:AB$37,{"L 2";"L 2, S2";"L S2, 2"}))</f>
        <v>0</v>
      </c>
      <c r="AC59" s="26">
        <f t="array" ref="AC59">SUM(COUNTIF(AC$9:AC$37,{"L 2";"L 2, S2";"L S2, 2"}))</f>
        <v>0</v>
      </c>
      <c r="AD59" s="26">
        <f t="array" ref="AD59">SUM(COUNTIF(AD$9:AD$37,{"L 2";"L 2, S2";"L S2, 2"}))</f>
        <v>0</v>
      </c>
      <c r="AE59" s="26">
        <f t="array" ref="AE59">SUM(COUNTIF(AE$9:AE$37,{"L 2";"L 2, S2";"L S2, 2"}))</f>
        <v>3</v>
      </c>
      <c r="AF59" s="26">
        <f t="array" ref="AF59">SUM(COUNTIF(AF$9:AF$37,{"L 2";"L 2, S2";"L S2, 2"}))</f>
        <v>6</v>
      </c>
      <c r="AG59" s="26">
        <f t="array" ref="AG59">SUM(COUNTIF(AG$9:AG$37,{"L 2";"L 2, S2";"L S2, 2"}))</f>
        <v>3</v>
      </c>
      <c r="AH59" s="26">
        <f t="array" ref="AH59">SUM(COUNTIF(AH$9:AH$37,{"L 2";"L 2, S2";"L S2, 2"}))</f>
        <v>3</v>
      </c>
      <c r="AI59" s="26">
        <f t="array" ref="AI59">SUM(COUNTIF(AI$9:AI$37,{"L 2";"L 2, S2";"L S2, 2"}))</f>
        <v>3</v>
      </c>
      <c r="AJ59" s="27">
        <f t="shared" si="9"/>
        <v>21</v>
      </c>
      <c r="AK59" s="37"/>
      <c r="AL59" s="37"/>
      <c r="AM59" s="51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52"/>
    </row>
    <row r="60" spans="1:63" ht="15.75" customHeight="1">
      <c r="A60" s="5"/>
      <c r="B60" s="5"/>
      <c r="C60" s="331"/>
      <c r="D60" s="23" t="s">
        <v>182</v>
      </c>
      <c r="E60" s="26">
        <f t="array" ref="E60">SUM(COUNTIF(E$9:E$37,{"L 1, C1";"L C1";"L C1, 3";"L C1, C2";"L S2, C1";"L C1, 1";"L 3, C1";"L C2, C1";"L C1, S2"}))/2</f>
        <v>2</v>
      </c>
      <c r="F60" s="26">
        <f t="array" ref="F60">SUM(COUNTIF(F$9:F$37,{"L 1, C1";"L C1";"L C1, 3";"L C1, C2";"L S2, C1";"L C1, 1";"L 3, C1";"L C2, C1";"L C1, S2"}))/2</f>
        <v>0</v>
      </c>
      <c r="G60" s="26">
        <f t="array" ref="G60">SUM(COUNTIF(G$9:G$37,{"L 1, C1";"L C1";"L C1, 3";"L C1, C2";"L S2, C1";"L C1, 1";"L 3, C1";"L C2, C1";"L C1, S2"}))/2</f>
        <v>0</v>
      </c>
      <c r="H60" s="26">
        <f t="array" ref="H60">SUM(COUNTIF(H$9:H$37,{"L 1, C1";"L C1";"L C1, 3";"L C1, C2";"L S2, C1";"L C1, 1";"L 3, C1";"L C2, C1";"L C1, S2"}))/2</f>
        <v>0</v>
      </c>
      <c r="I60" s="26">
        <f t="array" ref="I60">SUM(COUNTIF(I$9:I$37,{"L 1, C1";"L C1";"L C1, 3";"L C1, C2";"L S2, C1";"L C1, 1";"L 3, C1";"L C2, C1";"L C1, S2"}))/2</f>
        <v>0</v>
      </c>
      <c r="J60" s="26">
        <f t="array" ref="J60">SUM(COUNTIF(J$9:J$37,{"L 1, C1";"L C1";"L C1, 3";"L C1, C2";"L S2, C1";"L C1, 1";"L 3, C1";"L C2, C1";"L C1, S2"}))/2</f>
        <v>0</v>
      </c>
      <c r="K60" s="26">
        <f t="array" ref="K60">SUM(COUNTIF(K$9:K$37,{"L 1, C1";"L C1";"L C1, 3";"L C1, C2";"L S2, C1";"L C1, 1";"L 3, C1";"L C2, C1";"L C1, S2"}))/2</f>
        <v>0</v>
      </c>
      <c r="L60" s="26">
        <f t="array" ref="L60">SUM(COUNTIF(L$9:L$37,{"L 1, C1";"L C1";"L C1, 3";"L C1, C2";"L S2, C1";"L C1, 1";"L 3, C1";"L C2, C1";"L C1, S2"}))/2</f>
        <v>0</v>
      </c>
      <c r="M60" s="26">
        <f t="array" ref="M60">SUM(COUNTIF(M$9:M$37,{"L 1, C1";"L C1";"L C1, 3";"L C1, C2";"L S2, C1";"L C1, 1";"L 3, C1";"L C2, C1";"L C1, S2"}))/2</f>
        <v>0</v>
      </c>
      <c r="N60" s="26">
        <f t="array" ref="N60">SUM(COUNTIF(N$9:N$37,{"L 1, C1";"L C1";"L C1, 3";"L C1, C2";"L S2, C1";"L C1, 1";"L 3, C1";"L C2, C1";"L C1, S2"}))/2</f>
        <v>0</v>
      </c>
      <c r="O60" s="26">
        <f t="array" ref="O60">SUM(COUNTIF(O$9:O$37,{"L 1, C1";"L C1";"L C1, 3";"L C1, C2";"L S2, C1";"L C1, 1";"L 3, C1";"L C2, C1";"L C1, S2"}))/2</f>
        <v>0</v>
      </c>
      <c r="P60" s="26">
        <f t="array" ref="P60">SUM(COUNTIF(P$9:P$37,{"L 1, C1";"L C1";"L C1, 3";"L C1, C2";"L S2, C1";"L C1, 1";"L 3, C1";"L C2, C1";"L C1, S2"}))/2</f>
        <v>0</v>
      </c>
      <c r="Q60" s="26">
        <f t="array" ref="Q60">SUM(COUNTIF(Q$9:Q$37,{"L 1, C1";"L C1";"L C1, 3";"L C1, C2";"L S2, C1";"L C1, 1";"L 3, C1";"L C2, C1";"L C1, S2"}))/2</f>
        <v>0</v>
      </c>
      <c r="R60" s="26">
        <f t="array" ref="R60">SUM(COUNTIF(R$9:R$37,{"L 1, C1";"L C1";"L C1, 3";"L C1, C2";"L S2, C1";"L C1, 1";"L 3, C1";"L C2, C1";"L C1, S2"}))/2</f>
        <v>0</v>
      </c>
      <c r="S60" s="26">
        <f t="array" ref="S60">SUM(COUNTIF(S$9:S$37,{"L 1, C1";"L C1";"L C1, 3";"L C1, C2";"L S2, C1";"L C1, 1";"L 3, C1";"L C2, C1";"L C1, S2"}))/2</f>
        <v>0</v>
      </c>
      <c r="T60" s="26">
        <f t="array" ref="T60">SUM(COUNTIF(T$9:T$37,{"L 1, C1";"L C1";"L C1, 3";"L C1, C2";"L S2, C1";"L C1, 1";"L 3, C1";"L C2, C1";"L C1, S2"}))/2</f>
        <v>0</v>
      </c>
      <c r="U60" s="26">
        <f t="array" ref="U60">SUM(COUNTIF(U$9:U$37,{"L 1, C1";"L C1";"L C1, 3";"L C1, C2";"L S2, C1";"L C1, 1";"L 3, C1";"L C2, C1";"L C1, S2"}))/2</f>
        <v>0</v>
      </c>
      <c r="V60" s="26">
        <f t="array" ref="V60">SUM(COUNTIF(V$9:V$37,{"L 1, C1";"L C1";"L C1, 3";"L C1, C2";"L S2, C1";"L C1, 1";"L 3, C1";"L C2, C1";"L C1, S2"}))/2</f>
        <v>0</v>
      </c>
      <c r="W60" s="26">
        <f t="array" ref="W60">SUM(COUNTIF(W$9:W$37,{"L 1, C1";"L C1";"L C1, 3";"L C1, C2";"L S2, C1";"L C1, 1";"L 3, C1";"L C2, C1";"L C1, S2"}))/2</f>
        <v>0</v>
      </c>
      <c r="X60" s="26">
        <f t="array" ref="X60">SUM(COUNTIF(X$9:X$37,{"L 1, C1";"L C1";"L C1, 3";"L C1, C2";"L S2, C1";"L C1, 1";"L 3, C1";"L C2, C1";"L C1, S2"}))/2</f>
        <v>0</v>
      </c>
      <c r="Y60" s="26">
        <f t="array" ref="Y60">SUM(COUNTIF(Y$9:Y$37,{"L 1, C1";"L C1";"L C1, 3";"L C1, C2";"L S2, C1";"L C1, 1";"L 3, C1";"L C2, C1";"L C1, S2"}))/2</f>
        <v>0</v>
      </c>
      <c r="Z60" s="26">
        <f t="array" ref="Z60">SUM(COUNTIF(Z$9:Z$37,{"L 1, C1";"L C1";"L C1, 3";"L C1, C2";"L S2, C1";"L C1, 1";"L 3, C1";"L C2, C1";"L C1, S2"}))/2</f>
        <v>0</v>
      </c>
      <c r="AA60" s="26">
        <f t="array" ref="AA60">SUM(COUNTIF(AA$9:AA$37,{"L 1, C1";"L C1";"L C1, 3";"L C1, C2";"L S2, C1";"L C1, 1";"L 3, C1";"L C2, C1";"L C1, S2"}))/2</f>
        <v>0</v>
      </c>
      <c r="AB60" s="26">
        <f t="array" ref="AB60">SUM(COUNTIF(AB$9:AB$37,{"L 1, C1";"L C1";"L C1, 3";"L C1, C2";"L S2, C1";"L C1, 1";"L 3, C1";"L C2, C1";"L C1, S2"}))/2</f>
        <v>0</v>
      </c>
      <c r="AC60" s="26">
        <f t="array" ref="AC60">SUM(COUNTIF(AC$9:AC$37,{"L 1, C1";"L C1";"L C1, 3";"L C1, C2";"L S2, C1";"L C1, 1";"L 3, C1";"L C2, C1";"L C1, S2"}))/2</f>
        <v>0</v>
      </c>
      <c r="AD60" s="26">
        <f t="array" ref="AD60">SUM(COUNTIF(AD$9:AD$37,{"L 1, C1";"L C1";"L C1, 3";"L C1, C2";"L S2, C1";"L C1, 1";"L 3, C1";"L C2, C1";"L C1, S2"}))/2</f>
        <v>0</v>
      </c>
      <c r="AE60" s="26">
        <f t="array" ref="AE60">SUM(COUNTIF(AE$9:AE$37,{"L 1, C1";"L C1";"L C1, 3";"L C1, C2";"L S2, C1";"L C1, 1";"L 3, C1";"L C2, C1";"L C1, S2"}))/2</f>
        <v>1</v>
      </c>
      <c r="AF60" s="26">
        <f t="array" ref="AF60">SUM(COUNTIF(AF$9:AF$37,{"L 1, C1";"L C1";"L C1, 3";"L C1, C2";"L S2, C1";"L C1, 1";"L 3, C1";"L C2, C1";"L C1, S2"}))/2</f>
        <v>0</v>
      </c>
      <c r="AG60" s="26">
        <f t="array" ref="AG60">SUM(COUNTIF(AG$9:AG$37,{"L 1, C1";"L C1";"L C1, 3";"L C1, C2";"L S2, C1";"L C1, 1";"L 3, C1";"L C2, C1";"L C1, S2"}))/2</f>
        <v>0</v>
      </c>
      <c r="AH60" s="26">
        <f t="array" ref="AH60">SUM(COUNTIF(AH$9:AH$37,{"L 1, C1";"L C1";"L C1, 3";"L C1, C2";"L S2, C1";"L C1, 1";"L 3, C1";"L C2, C1";"L C1, S2"}))/2</f>
        <v>0</v>
      </c>
      <c r="AI60" s="26">
        <f t="array" ref="AI60">SUM(COUNTIF(AI$9:AI$37,{"L 1, C1";"L C1";"L C1, 3";"L C1, C2";"L S2, C1";"L C1, 1";"L 3, C1";"L C2, C1";"L C1, S2"}))/2</f>
        <v>0</v>
      </c>
      <c r="AJ60" s="27">
        <f t="shared" si="9"/>
        <v>3</v>
      </c>
      <c r="AK60" s="37"/>
      <c r="AL60" s="37"/>
      <c r="AM60" s="51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52"/>
    </row>
    <row r="61" spans="1:63" ht="15.75" customHeight="1">
      <c r="A61" s="5"/>
      <c r="B61" s="5"/>
      <c r="C61" s="331"/>
      <c r="D61" s="23" t="s">
        <v>183</v>
      </c>
      <c r="E61" s="26">
        <f t="array" ref="E61">SUM(COUNTIF(E$9:E$37,{"L 1, C2";"L C1, C2";"L C2";"L C2, 3";"L S2, C2";"L C2, 1";"L C2, C1";"L 3, C2";"L C2, S2";"L HC, C2";"L C2, HC"}))/2</f>
        <v>1.5</v>
      </c>
      <c r="F61" s="26">
        <f t="array" ref="F61">SUM(COUNTIF(F$9:F$37,{"L 1, C2";"L C1, C2";"L C2";"L C2, 3";"L S2, C2";"L C2, 1";"L C2, C1";"L 3, C2";"L C2, S2";"L HC, C2";"L C2, HC"}))/2</f>
        <v>0</v>
      </c>
      <c r="G61" s="26">
        <f t="array" ref="G61">SUM(COUNTIF(G$9:G$37,{"L 1, C2";"L C1, C2";"L C2";"L C2, 3";"L S2, C2";"L C2, 1";"L C2, C1";"L 3, C2";"L C2, S2";"L HC, C2";"L C2, HC"}))/2</f>
        <v>0</v>
      </c>
      <c r="H61" s="26">
        <f t="array" ref="H61">SUM(COUNTIF(H$9:H$37,{"L 1, C2";"L C1, C2";"L C2";"L C2, 3";"L S2, C2";"L C2, 1";"L C2, C1";"L 3, C2";"L C2, S2";"L HC, C2";"L C2, HC"}))/2</f>
        <v>0</v>
      </c>
      <c r="I61" s="26">
        <f t="array" ref="I61">SUM(COUNTIF(I$9:I$37,{"L 1, C2";"L C1, C2";"L C2";"L C2, 3";"L S2, C2";"L C2, 1";"L C2, C1";"L 3, C2";"L C2, S2";"L HC, C2";"L C2, HC"}))/2</f>
        <v>0</v>
      </c>
      <c r="J61" s="26">
        <f t="array" ref="J61">SUM(COUNTIF(J$9:J$37,{"L 1, C2";"L C1, C2";"L C2";"L C2, 3";"L S2, C2";"L C2, 1";"L C2, C1";"L 3, C2";"L C2, S2";"L HC, C2";"L C2, HC"}))/2</f>
        <v>0</v>
      </c>
      <c r="K61" s="26">
        <f t="array" ref="K61">SUM(COUNTIF(K$9:K$37,{"L 1, C2";"L C1, C2";"L C2";"L C2, 3";"L S2, C2";"L C2, 1";"L C2, C1";"L 3, C2";"L C2, S2";"L HC, C2";"L C2, HC"}))/2</f>
        <v>0</v>
      </c>
      <c r="L61" s="26">
        <f t="array" ref="L61">SUM(COUNTIF(L$9:L$37,{"L 1, C2";"L C1, C2";"L C2";"L C2, 3";"L S2, C2";"L C2, 1";"L C2, C1";"L 3, C2";"L C2, S2";"L HC, C2";"L C2, HC"}))/2</f>
        <v>0</v>
      </c>
      <c r="M61" s="26">
        <f t="array" ref="M61">SUM(COUNTIF(M$9:M$37,{"L 1, C2";"L C1, C2";"L C2";"L C2, 3";"L S2, C2";"L C2, 1";"L C2, C1";"L 3, C2";"L C2, S2";"L HC, C2";"L C2, HC"}))/2</f>
        <v>0</v>
      </c>
      <c r="N61" s="26">
        <f t="array" ref="N61">SUM(COUNTIF(N$9:N$37,{"L 1, C2";"L C1, C2";"L C2";"L C2, 3";"L S2, C2";"L C2, 1";"L C2, C1";"L 3, C2";"L C2, S2";"L HC, C2";"L C2, HC"}))/2</f>
        <v>0</v>
      </c>
      <c r="O61" s="26">
        <f t="array" ref="O61">SUM(COUNTIF(O$9:O$37,{"L 1, C2";"L C1, C2";"L C2";"L C2, 3";"L S2, C2";"L C2, 1";"L C2, C1";"L 3, C2";"L C2, S2";"L HC, C2";"L C2, HC"}))/2</f>
        <v>0</v>
      </c>
      <c r="P61" s="26">
        <f t="array" ref="P61">SUM(COUNTIF(P$9:P$37,{"L 1, C2";"L C1, C2";"L C2";"L C2, 3";"L S2, C2";"L C2, 1";"L C2, C1";"L 3, C2";"L C2, S2";"L HC, C2";"L C2, HC"}))/2</f>
        <v>0</v>
      </c>
      <c r="Q61" s="26">
        <f t="array" ref="Q61">SUM(COUNTIF(Q$9:Q$37,{"L 1, C2";"L C1, C2";"L C2";"L C2, 3";"L S2, C2";"L C2, 1";"L C2, C1";"L 3, C2";"L C2, S2";"L HC, C2";"L C2, HC"}))/2</f>
        <v>0</v>
      </c>
      <c r="R61" s="26">
        <f t="array" ref="R61">SUM(COUNTIF(R$9:R$37,{"L 1, C2";"L C1, C2";"L C2";"L C2, 3";"L S2, C2";"L C2, 1";"L C2, C1";"L 3, C2";"L C2, S2";"L HC, C2";"L C2, HC"}))/2</f>
        <v>0</v>
      </c>
      <c r="S61" s="26">
        <f t="array" ref="S61">SUM(COUNTIF(S$9:S$37,{"L 1, C2";"L C1, C2";"L C2";"L C2, 3";"L S2, C2";"L C2, 1";"L C2, C1";"L 3, C2";"L C2, S2";"L HC, C2";"L C2, HC"}))/2</f>
        <v>0</v>
      </c>
      <c r="T61" s="26">
        <f t="array" ref="T61">SUM(COUNTIF(T$9:T$37,{"L 1, C2";"L C1, C2";"L C2";"L C2, 3";"L S2, C2";"L C2, 1";"L C2, C1";"L 3, C2";"L C2, S2";"L HC, C2";"L C2, HC"}))/2</f>
        <v>0</v>
      </c>
      <c r="U61" s="26">
        <f t="array" ref="U61">SUM(COUNTIF(U$9:U$37,{"L 1, C2";"L C1, C2";"L C2";"L C2, 3";"L S2, C2";"L C2, 1";"L C2, C1";"L 3, C2";"L C2, S2";"L HC, C2";"L C2, HC"}))/2</f>
        <v>0</v>
      </c>
      <c r="V61" s="26">
        <f t="array" ref="V61">SUM(COUNTIF(V$9:V$37,{"L 1, C2";"L C1, C2";"L C2";"L C2, 3";"L S2, C2";"L C2, 1";"L C2, C1";"L 3, C2";"L C2, S2";"L HC, C2";"L C2, HC"}))/2</f>
        <v>0</v>
      </c>
      <c r="W61" s="26">
        <f t="array" ref="W61">SUM(COUNTIF(W$9:W$37,{"L 1, C2";"L C1, C2";"L C2";"L C2, 3";"L S2, C2";"L C2, 1";"L C2, C1";"L 3, C2";"L C2, S2";"L HC, C2";"L C2, HC"}))/2</f>
        <v>0</v>
      </c>
      <c r="X61" s="26">
        <f t="array" ref="X61">SUM(COUNTIF(X$9:X$37,{"L 1, C2";"L C1, C2";"L C2";"L C2, 3";"L S2, C2";"L C2, 1";"L C2, C1";"L 3, C2";"L C2, S2";"L HC, C2";"L C2, HC"}))/2</f>
        <v>0</v>
      </c>
      <c r="Y61" s="26">
        <f t="array" ref="Y61">SUM(COUNTIF(Y$9:Y$37,{"L 1, C2";"L C1, C2";"L C2";"L C2, 3";"L S2, C2";"L C2, 1";"L C2, C1";"L 3, C2";"L C2, S2";"L HC, C2";"L C2, HC"}))/2</f>
        <v>0</v>
      </c>
      <c r="Z61" s="26">
        <f t="array" ref="Z61">SUM(COUNTIF(Z$9:Z$37,{"L 1, C2";"L C1, C2";"L C2";"L C2, 3";"L S2, C2";"L C2, 1";"L C2, C1";"L 3, C2";"L C2, S2";"L HC, C2";"L C2, HC"}))/2</f>
        <v>0</v>
      </c>
      <c r="AA61" s="26">
        <f t="array" ref="AA61">SUM(COUNTIF(AA$9:AA$37,{"L 1, C2";"L C1, C2";"L C2";"L C2, 3";"L S2, C2";"L C2, 1";"L C2, C1";"L 3, C2";"L C2, S2";"L HC, C2";"L C2, HC"}))/2</f>
        <v>0</v>
      </c>
      <c r="AB61" s="26">
        <f t="array" ref="AB61">SUM(COUNTIF(AB$9:AB$37,{"L 1, C2";"L C1, C2";"L C2";"L C2, 3";"L S2, C2";"L C2, 1";"L C2, C1";"L 3, C2";"L C2, S2";"L HC, C2";"L C2, HC"}))/2</f>
        <v>0</v>
      </c>
      <c r="AC61" s="26">
        <f t="array" ref="AC61">SUM(COUNTIF(AC$9:AC$37,{"L 1, C2";"L C1, C2";"L C2";"L C2, 3";"L S2, C2";"L C2, 1";"L C2, C1";"L 3, C2";"L C2, S2";"L HC, C2";"L C2, HC"}))/2</f>
        <v>0</v>
      </c>
      <c r="AD61" s="26">
        <f t="array" ref="AD61">SUM(COUNTIF(AD$9:AD$37,{"L 1, C2";"L C1, C2";"L C2";"L C2, 3";"L S2, C2";"L C2, 1";"L C2, C1";"L 3, C2";"L C2, S2";"L HC, C2";"L C2, HC"}))/2</f>
        <v>0</v>
      </c>
      <c r="AE61" s="26">
        <f t="array" ref="AE61">SUM(COUNTIF(AE$9:AE$37,{"L 1, C2";"L C1, C2";"L C2";"L C2, 3";"L S2, C2";"L C2, 1";"L C2, C1";"L 3, C2";"L C2, S2";"L HC, C2";"L C2, HC"}))/2</f>
        <v>3</v>
      </c>
      <c r="AF61" s="26">
        <f t="array" ref="AF61">SUM(COUNTIF(AF$9:AF$37,{"L 1, C2";"L C1, C2";"L C2";"L C2, 3";"L S2, C2";"L C2, 1";"L C2, C1";"L 3, C2";"L C2, S2";"L HC, C2";"L C2, HC"}))/2</f>
        <v>1</v>
      </c>
      <c r="AG61" s="26">
        <f t="array" ref="AG61">SUM(COUNTIF(AG$9:AG$37,{"L 1, C2";"L C1, C2";"L C2";"L C2, 3";"L S2, C2";"L C2, 1";"L C2, C1";"L 3, C2";"L C2, S2";"L HC, C2";"L C2, HC"}))/2</f>
        <v>0</v>
      </c>
      <c r="AH61" s="26">
        <f t="array" ref="AH61">SUM(COUNTIF(AH$9:AH$37,{"L 1, C2";"L C1, C2";"L C2";"L C2, 3";"L S2, C2";"L C2, 1";"L C2, C1";"L 3, C2";"L C2, S2";"L HC, C2";"L C2, HC"}))/2</f>
        <v>0</v>
      </c>
      <c r="AI61" s="26">
        <f t="array" ref="AI61">SUM(COUNTIF(AI$9:AI$37,{"L 1, C2";"L C1, C2";"L C2";"L C2, 3";"L S2, C2";"L C2, 1";"L C2, C1";"L 3, C2";"L C2, S2";"L HC, C2";"L C2, HC"}))/2</f>
        <v>0</v>
      </c>
      <c r="AJ61" s="27">
        <f t="shared" si="9"/>
        <v>5.5</v>
      </c>
      <c r="AK61" s="37"/>
      <c r="AL61" s="37"/>
      <c r="AM61" s="51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52"/>
    </row>
    <row r="62" spans="1:63" ht="15.75" customHeight="1">
      <c r="A62" s="5"/>
      <c r="B62" s="5"/>
      <c r="C62" s="331"/>
      <c r="D62" s="48" t="s">
        <v>184</v>
      </c>
      <c r="E62" s="49">
        <f t="shared" ref="E62:AI62" si="15">E59+E60+E61</f>
        <v>6.5</v>
      </c>
      <c r="F62" s="49">
        <f t="shared" si="15"/>
        <v>0</v>
      </c>
      <c r="G62" s="49">
        <f t="shared" si="15"/>
        <v>0</v>
      </c>
      <c r="H62" s="49">
        <f t="shared" si="15"/>
        <v>0</v>
      </c>
      <c r="I62" s="49">
        <f t="shared" si="15"/>
        <v>0</v>
      </c>
      <c r="J62" s="49">
        <f t="shared" si="15"/>
        <v>0</v>
      </c>
      <c r="K62" s="49">
        <f t="shared" si="15"/>
        <v>0</v>
      </c>
      <c r="L62" s="49">
        <f t="shared" si="15"/>
        <v>0</v>
      </c>
      <c r="M62" s="49">
        <f t="shared" si="15"/>
        <v>0</v>
      </c>
      <c r="N62" s="49">
        <f t="shared" si="15"/>
        <v>0</v>
      </c>
      <c r="O62" s="49">
        <f t="shared" si="15"/>
        <v>0</v>
      </c>
      <c r="P62" s="49">
        <f t="shared" si="15"/>
        <v>0</v>
      </c>
      <c r="Q62" s="49">
        <f t="shared" si="15"/>
        <v>0</v>
      </c>
      <c r="R62" s="49">
        <f t="shared" si="15"/>
        <v>0</v>
      </c>
      <c r="S62" s="49">
        <f t="shared" si="15"/>
        <v>0</v>
      </c>
      <c r="T62" s="49">
        <f t="shared" si="15"/>
        <v>0</v>
      </c>
      <c r="U62" s="49">
        <f t="shared" si="15"/>
        <v>0</v>
      </c>
      <c r="V62" s="49">
        <f t="shared" si="15"/>
        <v>0</v>
      </c>
      <c r="W62" s="49">
        <f t="shared" si="15"/>
        <v>0</v>
      </c>
      <c r="X62" s="49">
        <f t="shared" si="15"/>
        <v>0</v>
      </c>
      <c r="Y62" s="49">
        <f t="shared" si="15"/>
        <v>0</v>
      </c>
      <c r="Z62" s="49">
        <f t="shared" si="15"/>
        <v>0</v>
      </c>
      <c r="AA62" s="49">
        <f t="shared" si="15"/>
        <v>0</v>
      </c>
      <c r="AB62" s="49">
        <f t="shared" si="15"/>
        <v>0</v>
      </c>
      <c r="AC62" s="49">
        <f t="shared" si="15"/>
        <v>0</v>
      </c>
      <c r="AD62" s="49">
        <f t="shared" si="15"/>
        <v>0</v>
      </c>
      <c r="AE62" s="49">
        <f t="shared" si="15"/>
        <v>7</v>
      </c>
      <c r="AF62" s="49">
        <f t="shared" si="15"/>
        <v>7</v>
      </c>
      <c r="AG62" s="49">
        <f t="shared" si="15"/>
        <v>3</v>
      </c>
      <c r="AH62" s="49">
        <f t="shared" si="15"/>
        <v>3</v>
      </c>
      <c r="AI62" s="49">
        <f t="shared" si="15"/>
        <v>3</v>
      </c>
      <c r="AJ62" s="50">
        <f t="shared" si="9"/>
        <v>29.5</v>
      </c>
      <c r="AK62" s="37"/>
      <c r="AL62" s="37"/>
      <c r="AM62" s="51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52"/>
    </row>
    <row r="63" spans="1:63" ht="15.75" customHeight="1">
      <c r="A63" s="5"/>
      <c r="B63" s="5"/>
      <c r="C63" s="331"/>
      <c r="D63" s="48" t="s">
        <v>185</v>
      </c>
      <c r="E63" s="49">
        <f t="array" ref="E63">SUM(COUNTIFS(E$9:E$37,{"L GR";"L HC";"L KT";"L QA";"L HC, C2";"L C2, HC"}))+SUM(COUNTIFS(E$9:E$37,{"L HC1";"L HC2"}))/2</f>
        <v>4</v>
      </c>
      <c r="F63" s="49">
        <f t="array" ref="F63">SUM(COUNTIFS(F$9:F$37,{"L GR";"L HC";"L KT";"L QA";"L HC, C2";"L C2, HC"}))+SUM(COUNTIFS(F$9:F$37,{"L HC1";"L HC2"}))/2</f>
        <v>0</v>
      </c>
      <c r="G63" s="49">
        <f t="array" ref="G63">SUM(COUNTIFS(G$9:G$37,{"L GR";"L HC";"L KT";"L QA";"L HC, C2";"L C2, HC"}))+SUM(COUNTIFS(G$9:G$37,{"L HC1";"L HC2"}))/2</f>
        <v>0</v>
      </c>
      <c r="H63" s="49">
        <f t="array" ref="H63">SUM(COUNTIFS(H$9:H$37,{"L GR";"L HC";"L KT";"L QA";"L HC, C2";"L C2, HC"}))+SUM(COUNTIFS(H$9:H$37,{"L HC1";"L HC2"}))/2</f>
        <v>0</v>
      </c>
      <c r="I63" s="49">
        <f t="array" ref="I63">SUM(COUNTIFS(I$9:I$37,{"L GR";"L HC";"L KT";"L QA";"L HC, C2";"L C2, HC"}))+SUM(COUNTIFS(I$9:I$37,{"L HC1";"L HC2"}))/2</f>
        <v>0</v>
      </c>
      <c r="J63" s="49">
        <f t="array" ref="J63">SUM(COUNTIFS(J$9:J$37,{"L GR";"L HC";"L KT";"L QA";"L HC, C2";"L C2, HC"}))+SUM(COUNTIFS(J$9:J$37,{"L HC1";"L HC2"}))/2</f>
        <v>0</v>
      </c>
      <c r="K63" s="49">
        <f t="array" ref="K63">SUM(COUNTIFS(K$9:K$37,{"L GR";"L HC";"L KT";"L QA";"L HC, C2";"L C2, HC"}))+SUM(COUNTIFS(K$9:K$37,{"L HC1";"L HC2"}))/2</f>
        <v>0</v>
      </c>
      <c r="L63" s="49">
        <f t="array" ref="L63">SUM(COUNTIFS(L$9:L$37,{"L GR";"L HC";"L KT";"L QA";"L HC, C2";"L C2, HC"}))+SUM(COUNTIFS(L$9:L$37,{"L HC1";"L HC2"}))/2</f>
        <v>0</v>
      </c>
      <c r="M63" s="49">
        <f t="array" ref="M63">SUM(COUNTIFS(M$9:M$37,{"L GR";"L HC";"L KT";"L QA";"L HC, C2";"L C2, HC"}))+SUM(COUNTIFS(M$9:M$37,{"L HC1";"L HC2"}))/2</f>
        <v>0</v>
      </c>
      <c r="N63" s="49">
        <f t="array" ref="N63">SUM(COUNTIFS(N$9:N$37,{"L GR";"L HC";"L KT";"L QA";"L HC, C2";"L C2, HC"}))+SUM(COUNTIFS(N$9:N$37,{"L HC1";"L HC2"}))/2</f>
        <v>0</v>
      </c>
      <c r="O63" s="49">
        <f t="array" ref="O63">SUM(COUNTIFS(O$9:O$37,{"L GR";"L HC";"L KT";"L QA";"L HC, C2";"L C2, HC"}))+SUM(COUNTIFS(O$9:O$37,{"L HC1";"L HC2"}))/2</f>
        <v>0</v>
      </c>
      <c r="P63" s="49">
        <f t="array" ref="P63">SUM(COUNTIFS(P$9:P$37,{"L GR";"L HC";"L KT";"L QA";"L HC, C2";"L C2, HC"}))+SUM(COUNTIFS(P$9:P$37,{"L HC1";"L HC2"}))/2</f>
        <v>0</v>
      </c>
      <c r="Q63" s="49">
        <f t="array" ref="Q63">SUM(COUNTIFS(Q$9:Q$37,{"L GR";"L HC";"L KT";"L QA";"L HC, C2";"L C2, HC"}))+SUM(COUNTIFS(Q$9:Q$37,{"L HC1";"L HC2"}))/2</f>
        <v>0</v>
      </c>
      <c r="R63" s="49">
        <f t="array" ref="R63">SUM(COUNTIFS(R$9:R$37,{"L GR";"L HC";"L KT";"L QA";"L HC, C2";"L C2, HC"}))+SUM(COUNTIFS(R$9:R$37,{"L HC1";"L HC2"}))/2</f>
        <v>0</v>
      </c>
      <c r="S63" s="49">
        <f t="array" ref="S63">SUM(COUNTIFS(S$9:S$37,{"L GR";"L HC";"L KT";"L QA";"L HC, C2";"L C2, HC"}))+SUM(COUNTIFS(S$9:S$37,{"L HC1";"L HC2"}))/2</f>
        <v>0</v>
      </c>
      <c r="T63" s="49">
        <f t="array" ref="T63">SUM(COUNTIFS(T$9:T$37,{"L GR";"L HC";"L KT";"L QA";"L HC, C2";"L C2, HC"}))+SUM(COUNTIFS(T$9:T$37,{"L HC1";"L HC2"}))/2</f>
        <v>0</v>
      </c>
      <c r="U63" s="49">
        <f t="array" ref="U63">SUM(COUNTIFS(U$9:U$37,{"L GR";"L HC";"L KT";"L QA";"L HC, C2";"L C2, HC"}))+SUM(COUNTIFS(U$9:U$37,{"L HC1";"L HC2"}))/2</f>
        <v>0</v>
      </c>
      <c r="V63" s="49">
        <f t="array" ref="V63">SUM(COUNTIFS(V$9:V$37,{"L GR";"L HC";"L KT";"L QA";"L HC, C2";"L C2, HC"}))+SUM(COUNTIFS(V$9:V$37,{"L HC1";"L HC2"}))/2</f>
        <v>0</v>
      </c>
      <c r="W63" s="49">
        <f t="array" ref="W63">SUM(COUNTIFS(W$9:W$37,{"L GR";"L HC";"L KT";"L QA";"L HC, C2";"L C2, HC"}))+SUM(COUNTIFS(W$9:W$37,{"L HC1";"L HC2"}))/2</f>
        <v>0</v>
      </c>
      <c r="X63" s="49">
        <f t="array" ref="X63">SUM(COUNTIFS(X$9:X$37,{"L GR";"L HC";"L KT";"L QA";"L HC, C2";"L C2, HC"}))+SUM(COUNTIFS(X$9:X$37,{"L HC1";"L HC2"}))/2</f>
        <v>0</v>
      </c>
      <c r="Y63" s="49">
        <f t="array" ref="Y63">SUM(COUNTIFS(Y$9:Y$37,{"L GR";"L HC";"L KT";"L QA";"L HC, C2";"L C2, HC"}))+SUM(COUNTIFS(Y$9:Y$37,{"L HC1";"L HC2"}))/2</f>
        <v>0</v>
      </c>
      <c r="Z63" s="49">
        <f t="array" ref="Z63">SUM(COUNTIFS(Z$9:Z$37,{"L GR";"L HC";"L KT";"L QA";"L HC, C2";"L C2, HC"}))+SUM(COUNTIFS(Z$9:Z$37,{"L HC1";"L HC2"}))/2</f>
        <v>0</v>
      </c>
      <c r="AA63" s="49">
        <f t="array" ref="AA63">SUM(COUNTIFS(AA$9:AA$37,{"L GR";"L HC";"L KT";"L QA";"L HC, C2";"L C2, HC"}))+SUM(COUNTIFS(AA$9:AA$37,{"L HC1";"L HC2"}))/2</f>
        <v>0</v>
      </c>
      <c r="AB63" s="49">
        <f t="array" ref="AB63">SUM(COUNTIFS(AB$9:AB$37,{"L GR";"L HC";"L KT";"L QA";"L HC, C2";"L C2, HC"}))+SUM(COUNTIFS(AB$9:AB$37,{"L HC1";"L HC2"}))/2</f>
        <v>0</v>
      </c>
      <c r="AC63" s="49">
        <f t="array" ref="AC63">SUM(COUNTIFS(AC$9:AC$37,{"L GR";"L HC";"L KT";"L QA";"L HC, C2";"L C2, HC"}))+SUM(COUNTIFS(AC$9:AC$37,{"L HC1";"L HC2"}))/2</f>
        <v>0</v>
      </c>
      <c r="AD63" s="49">
        <f t="array" ref="AD63">SUM(COUNTIFS(AD$9:AD$37,{"L GR";"L HC";"L KT";"L QA";"L HC, C2";"L C2, HC"}))+SUM(COUNTIFS(AD$9:AD$37,{"L HC1";"L HC2"}))/2</f>
        <v>0</v>
      </c>
      <c r="AE63" s="49">
        <f t="array" ref="AE63">SUM(COUNTIFS(AE$9:AE$37,{"L GR";"L HC";"L KT";"L QA";"L HC, C2";"L C2, HC"}))+SUM(COUNTIFS(AE$9:AE$37,{"L HC1";"L HC2"}))/2</f>
        <v>3</v>
      </c>
      <c r="AF63" s="49">
        <f t="array" ref="AF63">SUM(COUNTIFS(AF$9:AF$37,{"L GR";"L HC";"L KT";"L QA";"L HC, C2";"L C2, HC"}))+SUM(COUNTIFS(AF$9:AF$37,{"L HC1";"L HC2"}))/2</f>
        <v>2</v>
      </c>
      <c r="AG63" s="49">
        <f t="array" ref="AG63">SUM(COUNTIFS(AG$9:AG$37,{"L GR";"L HC";"L KT";"L QA";"L HC, C2";"L C2, HC"}))+SUM(COUNTIFS(AG$9:AG$37,{"L HC1";"L HC2"}))/2</f>
        <v>0</v>
      </c>
      <c r="AH63" s="49">
        <f t="array" ref="AH63">SUM(COUNTIFS(AH$9:AH$37,{"L GR";"L HC";"L KT";"L QA";"L HC, C2";"L C2, HC"}))+SUM(COUNTIFS(AH$9:AH$37,{"L HC1";"L HC2"}))/2</f>
        <v>0</v>
      </c>
      <c r="AI63" s="49">
        <f t="array" ref="AI63">SUM(COUNTIFS(AI$9:AI$37,{"L GR";"L HC";"L KT";"L QA";"L HC, C2";"L C2, HC"}))+SUM(COUNTIFS(AI$9:AI$37,{"L HC1";"L HC2"}))/2</f>
        <v>0</v>
      </c>
      <c r="AJ63" s="50">
        <f t="shared" si="9"/>
        <v>9</v>
      </c>
      <c r="AK63" s="37"/>
      <c r="AL63" s="37"/>
      <c r="AM63" s="51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52"/>
    </row>
    <row r="64" spans="1:63" ht="15.75" customHeight="1">
      <c r="A64" s="5"/>
      <c r="B64" s="5"/>
      <c r="C64" s="331"/>
      <c r="D64" s="48" t="s">
        <v>186</v>
      </c>
      <c r="E64" s="49">
        <f t="shared" ref="E64:AI64" si="16">E58+E62+E63</f>
        <v>13.5</v>
      </c>
      <c r="F64" s="49">
        <f t="shared" si="16"/>
        <v>0</v>
      </c>
      <c r="G64" s="49">
        <f t="shared" si="16"/>
        <v>0</v>
      </c>
      <c r="H64" s="49">
        <f t="shared" si="16"/>
        <v>0</v>
      </c>
      <c r="I64" s="49">
        <f t="shared" si="16"/>
        <v>0</v>
      </c>
      <c r="J64" s="49">
        <f t="shared" si="16"/>
        <v>0</v>
      </c>
      <c r="K64" s="49">
        <f t="shared" si="16"/>
        <v>0</v>
      </c>
      <c r="L64" s="49">
        <f t="shared" si="16"/>
        <v>0</v>
      </c>
      <c r="M64" s="49">
        <f t="shared" si="16"/>
        <v>0</v>
      </c>
      <c r="N64" s="49">
        <f t="shared" si="16"/>
        <v>0</v>
      </c>
      <c r="O64" s="49">
        <f t="shared" si="16"/>
        <v>0</v>
      </c>
      <c r="P64" s="49">
        <f t="shared" si="16"/>
        <v>0</v>
      </c>
      <c r="Q64" s="49">
        <f t="shared" si="16"/>
        <v>0</v>
      </c>
      <c r="R64" s="49">
        <f t="shared" si="16"/>
        <v>0</v>
      </c>
      <c r="S64" s="49">
        <f t="shared" si="16"/>
        <v>0</v>
      </c>
      <c r="T64" s="49">
        <f t="shared" si="16"/>
        <v>0</v>
      </c>
      <c r="U64" s="49">
        <f t="shared" si="16"/>
        <v>0</v>
      </c>
      <c r="V64" s="49">
        <f t="shared" si="16"/>
        <v>0</v>
      </c>
      <c r="W64" s="49">
        <f t="shared" si="16"/>
        <v>0</v>
      </c>
      <c r="X64" s="49">
        <f t="shared" si="16"/>
        <v>0</v>
      </c>
      <c r="Y64" s="49">
        <f t="shared" si="16"/>
        <v>0</v>
      </c>
      <c r="Z64" s="49">
        <f t="shared" si="16"/>
        <v>0</v>
      </c>
      <c r="AA64" s="49">
        <f t="shared" si="16"/>
        <v>0</v>
      </c>
      <c r="AB64" s="49">
        <f t="shared" si="16"/>
        <v>0</v>
      </c>
      <c r="AC64" s="49">
        <f t="shared" si="16"/>
        <v>0</v>
      </c>
      <c r="AD64" s="49">
        <f t="shared" si="16"/>
        <v>0</v>
      </c>
      <c r="AE64" s="49">
        <f t="shared" si="16"/>
        <v>11.5</v>
      </c>
      <c r="AF64" s="49">
        <f t="shared" si="16"/>
        <v>11.5</v>
      </c>
      <c r="AG64" s="49">
        <f t="shared" si="16"/>
        <v>4.5</v>
      </c>
      <c r="AH64" s="49">
        <f t="shared" si="16"/>
        <v>5</v>
      </c>
      <c r="AI64" s="49">
        <f t="shared" si="16"/>
        <v>5</v>
      </c>
      <c r="AJ64" s="50">
        <f t="shared" si="9"/>
        <v>51</v>
      </c>
      <c r="AK64" s="37"/>
      <c r="AL64" s="37"/>
      <c r="AM64" s="51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52"/>
    </row>
    <row r="65" spans="1:63" ht="15.75" customHeight="1">
      <c r="A65" s="5"/>
      <c r="B65" s="5"/>
      <c r="C65" s="331"/>
      <c r="D65" s="48" t="s">
        <v>86</v>
      </c>
      <c r="E65" s="49">
        <f t="array" ref="E65">SUM(COUNTIF(E$9:E$37,{"L 3";"L C1, 3";"L C2, 3";"L 3, C1";"L 3, C2";"L 3, S2";"L S2, 3"}))</f>
        <v>1</v>
      </c>
      <c r="F65" s="49">
        <f t="array" ref="F65">SUM(COUNTIF(F$9:F$37,{"L 3";"L C1, 3";"L C2, 3";"L 3, C1";"L 3, C2";"L 3, S2";"L S2, 3"}))</f>
        <v>0</v>
      </c>
      <c r="G65" s="49">
        <f t="array" ref="G65">SUM(COUNTIF(G$9:G$37,{"L 3";"L C1, 3";"L C2, 3";"L 3, C1";"L 3, C2";"L 3, S2";"L S2, 3"}))</f>
        <v>0</v>
      </c>
      <c r="H65" s="49">
        <f t="array" ref="H65">SUM(COUNTIF(H$9:H$37,{"L 3";"L C1, 3";"L C2, 3";"L 3, C1";"L 3, C2";"L 3, S2";"L S2, 3"}))</f>
        <v>0</v>
      </c>
      <c r="I65" s="49">
        <f t="array" ref="I65">SUM(COUNTIF(I$9:I$37,{"L 3";"L C1, 3";"L C2, 3";"L 3, C1";"L 3, C2";"L 3, S2";"L S2, 3"}))</f>
        <v>0</v>
      </c>
      <c r="J65" s="49">
        <f t="array" ref="J65">SUM(COUNTIF(J$9:J$37,{"L 3";"L C1, 3";"L C2, 3";"L 3, C1";"L 3, C2";"L 3, S2";"L S2, 3"}))</f>
        <v>0</v>
      </c>
      <c r="K65" s="49">
        <f t="array" ref="K65">SUM(COUNTIF(K$9:K$37,{"L 3";"L C1, 3";"L C2, 3";"L 3, C1";"L 3, C2";"L 3, S2";"L S2, 3"}))</f>
        <v>0</v>
      </c>
      <c r="L65" s="49">
        <f t="array" ref="L65">SUM(COUNTIF(L$9:L$37,{"L 3";"L C1, 3";"L C2, 3";"L 3, C1";"L 3, C2";"L 3, S2";"L S2, 3"}))</f>
        <v>0</v>
      </c>
      <c r="M65" s="49">
        <f t="array" ref="M65">SUM(COUNTIF(M$9:M$37,{"L 3";"L C1, 3";"L C2, 3";"L 3, C1";"L 3, C2";"L 3, S2";"L S2, 3"}))</f>
        <v>0</v>
      </c>
      <c r="N65" s="49">
        <f t="array" ref="N65">SUM(COUNTIF(N$9:N$37,{"L 3";"L C1, 3";"L C2, 3";"L 3, C1";"L 3, C2";"L 3, S2";"L S2, 3"}))</f>
        <v>0</v>
      </c>
      <c r="O65" s="49">
        <f t="array" ref="O65">SUM(COUNTIF(O$9:O$37,{"L 3";"L C1, 3";"L C2, 3";"L 3, C1";"L 3, C2";"L 3, S2";"L S2, 3"}))</f>
        <v>0</v>
      </c>
      <c r="P65" s="49">
        <f t="array" ref="P65">SUM(COUNTIF(P$9:P$37,{"L 3";"L C1, 3";"L C2, 3";"L 3, C1";"L 3, C2";"L 3, S2";"L S2, 3"}))</f>
        <v>0</v>
      </c>
      <c r="Q65" s="49">
        <f t="array" ref="Q65">SUM(COUNTIF(Q$9:Q$37,{"L 3";"L C1, 3";"L C2, 3";"L 3, C1";"L 3, C2";"L 3, S2";"L S2, 3"}))</f>
        <v>0</v>
      </c>
      <c r="R65" s="49">
        <f t="array" ref="R65">SUM(COUNTIF(R$9:R$37,{"L 3";"L C1, 3";"L C2, 3";"L 3, C1";"L 3, C2";"L 3, S2";"L S2, 3"}))</f>
        <v>0</v>
      </c>
      <c r="S65" s="49">
        <f t="array" ref="S65">SUM(COUNTIF(S$9:S$37,{"L 3";"L C1, 3";"L C2, 3";"L 3, C1";"L 3, C2";"L 3, S2";"L S2, 3"}))</f>
        <v>0</v>
      </c>
      <c r="T65" s="49">
        <f t="array" ref="T65">SUM(COUNTIF(T$9:T$37,{"L 3";"L C1, 3";"L C2, 3";"L 3, C1";"L 3, C2";"L 3, S2";"L S2, 3"}))</f>
        <v>0</v>
      </c>
      <c r="U65" s="49">
        <f t="array" ref="U65">SUM(COUNTIF(U$9:U$37,{"L 3";"L C1, 3";"L C2, 3";"L 3, C1";"L 3, C2";"L 3, S2";"L S2, 3"}))</f>
        <v>0</v>
      </c>
      <c r="V65" s="49">
        <f t="array" ref="V65">SUM(COUNTIF(V$9:V$37,{"L 3";"L C1, 3";"L C2, 3";"L 3, C1";"L 3, C2";"L 3, S2";"L S2, 3"}))</f>
        <v>0</v>
      </c>
      <c r="W65" s="49">
        <f t="array" ref="W65">SUM(COUNTIF(W$9:W$37,{"L 3";"L C1, 3";"L C2, 3";"L 3, C1";"L 3, C2";"L 3, S2";"L S2, 3"}))</f>
        <v>0</v>
      </c>
      <c r="X65" s="49">
        <f t="array" ref="X65">SUM(COUNTIF(X$9:X$37,{"L 3";"L C1, 3";"L C2, 3";"L 3, C1";"L 3, C2";"L 3, S2";"L S2, 3"}))</f>
        <v>0</v>
      </c>
      <c r="Y65" s="49">
        <f t="array" ref="Y65">SUM(COUNTIF(Y$9:Y$37,{"L 3";"L C1, 3";"L C2, 3";"L 3, C1";"L 3, C2";"L 3, S2";"L S2, 3"}))</f>
        <v>0</v>
      </c>
      <c r="Z65" s="49">
        <f t="array" ref="Z65">SUM(COUNTIF(Z$9:Z$37,{"L 3";"L C1, 3";"L C2, 3";"L 3, C1";"L 3, C2";"L 3, S2";"L S2, 3"}))</f>
        <v>0</v>
      </c>
      <c r="AA65" s="49">
        <f t="array" ref="AA65">SUM(COUNTIF(AA$9:AA$37,{"L 3";"L C1, 3";"L C2, 3";"L 3, C1";"L 3, C2";"L 3, S2";"L S2, 3"}))</f>
        <v>0</v>
      </c>
      <c r="AB65" s="49">
        <f t="array" ref="AB65">SUM(COUNTIF(AB$9:AB$37,{"L 3";"L C1, 3";"L C2, 3";"L 3, C1";"L 3, C2";"L 3, S2";"L S2, 3"}))</f>
        <v>0</v>
      </c>
      <c r="AC65" s="49">
        <f t="array" ref="AC65">SUM(COUNTIF(AC$9:AC$37,{"L 3";"L C1, 3";"L C2, 3";"L 3, C1";"L 3, C2";"L 3, S2";"L S2, 3"}))</f>
        <v>0</v>
      </c>
      <c r="AD65" s="49">
        <f t="array" ref="AD65">SUM(COUNTIF(AD$9:AD$37,{"L 3";"L C1, 3";"L C2, 3";"L 3, C1";"L 3, C2";"L 3, S2";"L S2, 3"}))</f>
        <v>0</v>
      </c>
      <c r="AE65" s="49">
        <f t="array" ref="AE65">SUM(COUNTIF(AE$9:AE$37,{"L 3";"L C1, 3";"L C2, 3";"L 3, C1";"L 3, C2";"L 3, S2";"L S2, 3"}))</f>
        <v>2</v>
      </c>
      <c r="AF65" s="49">
        <f t="array" ref="AF65">SUM(COUNTIF(AF$9:AF$37,{"L 3";"L C1, 3";"L C2, 3";"L 3, C1";"L 3, C2";"L 3, S2";"L S2, 3"}))</f>
        <v>3</v>
      </c>
      <c r="AG65" s="49">
        <f t="array" ref="AG65">SUM(COUNTIF(AG$9:AG$37,{"L 3";"L C1, 3";"L C2, 3";"L 3, C1";"L 3, C2";"L 3, S2";"L S2, 3"}))</f>
        <v>1</v>
      </c>
      <c r="AH65" s="49">
        <f t="array" ref="AH65">SUM(COUNTIF(AH$9:AH$37,{"L 3";"L C1, 3";"L C2, 3";"L 3, C1";"L 3, C2";"L 3, S2";"L S2, 3"}))</f>
        <v>2</v>
      </c>
      <c r="AI65" s="49">
        <f t="array" ref="AI65">SUM(COUNTIF(AI$9:AI$37,{"L 3";"L C1, 3";"L C2, 3";"L 3, C1";"L 3, C2";"L 3, S2";"L S2, 3"}))</f>
        <v>2</v>
      </c>
      <c r="AJ65" s="50">
        <f t="shared" si="9"/>
        <v>11</v>
      </c>
      <c r="AK65" s="37"/>
      <c r="AL65" s="37"/>
      <c r="AM65" s="51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52"/>
    </row>
    <row r="66" spans="1:63" ht="15.75" customHeight="1">
      <c r="A66" s="5"/>
      <c r="B66" s="5"/>
      <c r="C66" s="331"/>
      <c r="D66" s="48" t="s">
        <v>187</v>
      </c>
      <c r="E66" s="49">
        <f t="array" ref="E66">SUM(COUNTIFS(E$9:E$37,"L HCKT"))</f>
        <v>0</v>
      </c>
      <c r="F66" s="49">
        <f t="array" ref="F66">SUM(COUNTIFS(F$9:F$37,"L HCKT"))</f>
        <v>0</v>
      </c>
      <c r="G66" s="49">
        <f t="array" ref="G66">SUM(COUNTIFS(G$9:G$37,"L HCKT"))</f>
        <v>0</v>
      </c>
      <c r="H66" s="49">
        <f t="array" ref="H66">SUM(COUNTIFS(H$9:H$37,"L HCKT"))</f>
        <v>0</v>
      </c>
      <c r="I66" s="49">
        <f t="array" ref="I66">SUM(COUNTIFS(I$9:I$37,"L HCKT"))</f>
        <v>0</v>
      </c>
      <c r="J66" s="49">
        <f t="array" ref="J66">SUM(COUNTIFS(J$9:J$37,"L HCKT"))</f>
        <v>0</v>
      </c>
      <c r="K66" s="49">
        <f t="array" ref="K66">SUM(COUNTIFS(K$9:K$37,"L HCKT"))</f>
        <v>0</v>
      </c>
      <c r="L66" s="49">
        <f t="array" ref="L66">SUM(COUNTIFS(L$9:L$37,"L HCKT"))</f>
        <v>0</v>
      </c>
      <c r="M66" s="49">
        <f t="array" ref="M66">SUM(COUNTIFS(M$9:M$37,"L HCKT"))</f>
        <v>0</v>
      </c>
      <c r="N66" s="49">
        <f t="array" ref="N66">SUM(COUNTIFS(N$9:N$37,"L HCKT"))</f>
        <v>0</v>
      </c>
      <c r="O66" s="49">
        <f t="array" ref="O66">SUM(COUNTIFS(O$9:O$37,"L HCKT"))</f>
        <v>0</v>
      </c>
      <c r="P66" s="49">
        <f t="array" ref="P66">SUM(COUNTIFS(P$9:P$37,"L HCKT"))</f>
        <v>0</v>
      </c>
      <c r="Q66" s="49">
        <f t="array" ref="Q66">SUM(COUNTIFS(Q$9:Q$37,"L HCKT"))</f>
        <v>0</v>
      </c>
      <c r="R66" s="49">
        <f t="array" ref="R66">SUM(COUNTIFS(R$9:R$37,"L HCKT"))</f>
        <v>0</v>
      </c>
      <c r="S66" s="49">
        <f t="array" ref="S66">SUM(COUNTIFS(S$9:S$37,"L HCKT"))</f>
        <v>0</v>
      </c>
      <c r="T66" s="49">
        <f t="array" ref="T66">SUM(COUNTIFS(T$9:T$37,"L HCKT"))</f>
        <v>0</v>
      </c>
      <c r="U66" s="49">
        <f t="array" ref="U66">SUM(COUNTIFS(U$9:U$37,"L HCKT"))</f>
        <v>0</v>
      </c>
      <c r="V66" s="49">
        <f t="array" ref="V66">SUM(COUNTIFS(V$9:V$37,"L HCKT"))</f>
        <v>0</v>
      </c>
      <c r="W66" s="49">
        <f t="array" ref="W66">SUM(COUNTIFS(W$9:W$37,"L HCKT"))</f>
        <v>0</v>
      </c>
      <c r="X66" s="49">
        <f t="array" ref="X66">SUM(COUNTIFS(X$9:X$37,"L HCKT"))</f>
        <v>0</v>
      </c>
      <c r="Y66" s="49">
        <f t="array" ref="Y66">SUM(COUNTIFS(Y$9:Y$37,"L HCKT"))</f>
        <v>0</v>
      </c>
      <c r="Z66" s="49">
        <f t="array" ref="Z66">SUM(COUNTIFS(Z$9:Z$37,"L HCKT"))</f>
        <v>0</v>
      </c>
      <c r="AA66" s="49">
        <f t="array" ref="AA66">SUM(COUNTIFS(AA$9:AA$37,"L HCKT"))</f>
        <v>0</v>
      </c>
      <c r="AB66" s="49">
        <f t="array" ref="AB66">SUM(COUNTIFS(AB$9:AB$37,"L HCKT"))</f>
        <v>0</v>
      </c>
      <c r="AC66" s="49">
        <f t="array" ref="AC66">SUM(COUNTIFS(AC$9:AC$37,"L HCKT"))</f>
        <v>0</v>
      </c>
      <c r="AD66" s="49">
        <f t="array" ref="AD66">SUM(COUNTIFS(AD$9:AD$37,"L HCKT"))</f>
        <v>0</v>
      </c>
      <c r="AE66" s="49">
        <f t="array" ref="AE66">SUM(COUNTIFS(AE$9:AE$37,"L HCKT"))</f>
        <v>0</v>
      </c>
      <c r="AF66" s="49">
        <f t="array" ref="AF66">SUM(COUNTIFS(AF$9:AF$37,"L HCKT"))</f>
        <v>0</v>
      </c>
      <c r="AG66" s="49">
        <f t="array" ref="AG66">SUM(COUNTIFS(AG$9:AG$37,"L HCKT"))</f>
        <v>0</v>
      </c>
      <c r="AH66" s="49">
        <f t="array" ref="AH66">SUM(COUNTIFS(AH$9:AH$37,"L HCKT"))</f>
        <v>0</v>
      </c>
      <c r="AI66" s="49">
        <f t="array" ref="AI66">SUM(COUNTIFS(AI$9:AI$37,"L HCKT"))</f>
        <v>0</v>
      </c>
      <c r="AJ66" s="50">
        <f t="shared" si="9"/>
        <v>0</v>
      </c>
      <c r="AK66" s="37"/>
      <c r="AL66" s="37"/>
      <c r="AM66" s="51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52"/>
    </row>
    <row r="67" spans="1:63" ht="15.75" customHeight="1">
      <c r="A67" s="5"/>
      <c r="B67" s="5"/>
      <c r="C67" s="332"/>
      <c r="D67" s="33" t="s">
        <v>78</v>
      </c>
      <c r="E67" s="34">
        <f t="shared" ref="E67:AI67" si="17">E64+E65+E66</f>
        <v>14.5</v>
      </c>
      <c r="F67" s="34">
        <f t="shared" si="17"/>
        <v>0</v>
      </c>
      <c r="G67" s="34">
        <f t="shared" si="17"/>
        <v>0</v>
      </c>
      <c r="H67" s="34">
        <f t="shared" si="17"/>
        <v>0</v>
      </c>
      <c r="I67" s="34">
        <f t="shared" si="17"/>
        <v>0</v>
      </c>
      <c r="J67" s="34">
        <f t="shared" si="17"/>
        <v>0</v>
      </c>
      <c r="K67" s="34">
        <f t="shared" si="17"/>
        <v>0</v>
      </c>
      <c r="L67" s="34">
        <f t="shared" si="17"/>
        <v>0</v>
      </c>
      <c r="M67" s="34">
        <f t="shared" si="17"/>
        <v>0</v>
      </c>
      <c r="N67" s="34">
        <f t="shared" si="17"/>
        <v>0</v>
      </c>
      <c r="O67" s="34">
        <f t="shared" si="17"/>
        <v>0</v>
      </c>
      <c r="P67" s="34">
        <f t="shared" si="17"/>
        <v>0</v>
      </c>
      <c r="Q67" s="34">
        <f t="shared" si="17"/>
        <v>0</v>
      </c>
      <c r="R67" s="34">
        <f t="shared" si="17"/>
        <v>0</v>
      </c>
      <c r="S67" s="34">
        <f t="shared" si="17"/>
        <v>0</v>
      </c>
      <c r="T67" s="34">
        <f t="shared" si="17"/>
        <v>0</v>
      </c>
      <c r="U67" s="34">
        <f t="shared" si="17"/>
        <v>0</v>
      </c>
      <c r="V67" s="34">
        <f t="shared" si="17"/>
        <v>0</v>
      </c>
      <c r="W67" s="34">
        <f t="shared" si="17"/>
        <v>0</v>
      </c>
      <c r="X67" s="34">
        <f t="shared" si="17"/>
        <v>0</v>
      </c>
      <c r="Y67" s="34">
        <f t="shared" si="17"/>
        <v>0</v>
      </c>
      <c r="Z67" s="34">
        <f t="shared" si="17"/>
        <v>0</v>
      </c>
      <c r="AA67" s="34">
        <f t="shared" si="17"/>
        <v>0</v>
      </c>
      <c r="AB67" s="34">
        <f t="shared" si="17"/>
        <v>0</v>
      </c>
      <c r="AC67" s="34">
        <f t="shared" si="17"/>
        <v>0</v>
      </c>
      <c r="AD67" s="34">
        <f t="shared" si="17"/>
        <v>0</v>
      </c>
      <c r="AE67" s="34">
        <f t="shared" si="17"/>
        <v>13.5</v>
      </c>
      <c r="AF67" s="34">
        <f t="shared" si="17"/>
        <v>14.5</v>
      </c>
      <c r="AG67" s="34">
        <f t="shared" si="17"/>
        <v>5.5</v>
      </c>
      <c r="AH67" s="34">
        <f t="shared" si="17"/>
        <v>7</v>
      </c>
      <c r="AI67" s="34">
        <f t="shared" si="17"/>
        <v>7</v>
      </c>
      <c r="AJ67" s="34">
        <f t="shared" si="9"/>
        <v>62</v>
      </c>
      <c r="AK67" s="37"/>
      <c r="AL67" s="37"/>
      <c r="AM67" s="51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52"/>
    </row>
    <row r="68" spans="1:63" ht="15.75" customHeight="1">
      <c r="A68" s="5"/>
      <c r="B68" s="5"/>
      <c r="C68" s="5"/>
      <c r="D68" s="5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37"/>
      <c r="AL68" s="37"/>
      <c r="AM68" s="51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52"/>
    </row>
    <row r="69" spans="1:63" ht="15.75" customHeight="1">
      <c r="A69" s="3"/>
      <c r="B69" s="3"/>
      <c r="C69" s="3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6"/>
      <c r="AJ69" s="7"/>
      <c r="AK69" s="7"/>
      <c r="AL69" s="7"/>
      <c r="AM69" s="37"/>
      <c r="AN69" s="7"/>
      <c r="AO69" s="7"/>
      <c r="AP69" s="7"/>
      <c r="AQ69" s="37"/>
      <c r="AR69" s="37"/>
      <c r="AS69" s="37"/>
      <c r="AT69" s="37"/>
      <c r="AU69" s="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4"/>
    </row>
    <row r="70" spans="1:63" ht="15.75" customHeight="1">
      <c r="A70" s="3"/>
      <c r="B70" s="3"/>
      <c r="C70" s="3"/>
      <c r="D70" s="54" t="s">
        <v>76</v>
      </c>
      <c r="E70" s="55" t="s">
        <v>71</v>
      </c>
      <c r="F70" s="54" t="s">
        <v>77</v>
      </c>
      <c r="G70" s="54" t="s">
        <v>78</v>
      </c>
      <c r="H70" s="56"/>
      <c r="I70" s="326" t="s">
        <v>76</v>
      </c>
      <c r="J70" s="327"/>
      <c r="K70" s="326" t="s">
        <v>79</v>
      </c>
      <c r="L70" s="327"/>
      <c r="M70" s="326" t="s">
        <v>80</v>
      </c>
      <c r="N70" s="327"/>
      <c r="O70" s="326" t="s">
        <v>22</v>
      </c>
      <c r="P70" s="327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6"/>
      <c r="AJ70" s="7"/>
      <c r="AK70" s="7"/>
      <c r="AL70" s="7"/>
      <c r="AM70" s="37"/>
      <c r="AN70" s="7"/>
      <c r="AO70" s="7"/>
      <c r="AP70" s="7"/>
      <c r="AQ70" s="37"/>
      <c r="AR70" s="37"/>
      <c r="AS70" s="37"/>
      <c r="AT70" s="37"/>
      <c r="AU70" s="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4"/>
    </row>
    <row r="71" spans="1:63" ht="15.75" customHeight="1">
      <c r="A71" s="3"/>
      <c r="B71" s="3"/>
      <c r="C71" s="3"/>
      <c r="D71" s="23" t="s">
        <v>231</v>
      </c>
      <c r="E71" s="27">
        <f>AM38</f>
        <v>90</v>
      </c>
      <c r="F71" s="27">
        <f>AZ38</f>
        <v>12.5</v>
      </c>
      <c r="G71" s="57">
        <f t="shared" ref="G71:G77" si="18">E71+F71</f>
        <v>102.5</v>
      </c>
      <c r="H71" s="56"/>
      <c r="I71" s="326" t="s">
        <v>82</v>
      </c>
      <c r="J71" s="327"/>
      <c r="K71" s="328">
        <v>0.25</v>
      </c>
      <c r="L71" s="327"/>
      <c r="M71" s="328">
        <v>0.58333333333333337</v>
      </c>
      <c r="N71" s="327"/>
      <c r="O71" s="329" t="s">
        <v>83</v>
      </c>
      <c r="P71" s="327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6"/>
      <c r="AJ71" s="7"/>
      <c r="AK71" s="7"/>
      <c r="AL71" s="7"/>
      <c r="AM71" s="37"/>
      <c r="AN71" s="7"/>
      <c r="AO71" s="7"/>
      <c r="AP71" s="7"/>
      <c r="AQ71" s="37"/>
      <c r="AR71" s="37"/>
      <c r="AS71" s="37"/>
      <c r="AT71" s="37"/>
      <c r="AU71" s="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4"/>
    </row>
    <row r="72" spans="1:63" ht="15.75" customHeight="1">
      <c r="A72" s="3"/>
      <c r="B72" s="3"/>
      <c r="C72" s="3"/>
      <c r="D72" s="23" t="s">
        <v>232</v>
      </c>
      <c r="E72" s="27">
        <f>AQ38</f>
        <v>167.5</v>
      </c>
      <c r="F72" s="27">
        <f>BD38</f>
        <v>29.5</v>
      </c>
      <c r="G72" s="57">
        <f t="shared" si="18"/>
        <v>197</v>
      </c>
      <c r="H72" s="56"/>
      <c r="I72" s="326" t="s">
        <v>87</v>
      </c>
      <c r="J72" s="327"/>
      <c r="K72" s="328">
        <v>0.25</v>
      </c>
      <c r="L72" s="327"/>
      <c r="M72" s="328">
        <v>0.41666666666666669</v>
      </c>
      <c r="N72" s="327"/>
      <c r="O72" s="329" t="s">
        <v>88</v>
      </c>
      <c r="P72" s="327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6"/>
      <c r="AJ72" s="7"/>
      <c r="AK72" s="7"/>
      <c r="AL72" s="7"/>
      <c r="AM72" s="37"/>
      <c r="AN72" s="7"/>
      <c r="AO72" s="7"/>
      <c r="AP72" s="7"/>
      <c r="AQ72" s="37"/>
      <c r="AR72" s="37"/>
      <c r="AS72" s="37"/>
      <c r="AT72" s="37"/>
      <c r="AU72" s="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4"/>
    </row>
    <row r="73" spans="1:63" ht="15.75" customHeight="1">
      <c r="A73" s="3"/>
      <c r="B73" s="3"/>
      <c r="C73" s="3"/>
      <c r="D73" s="23" t="s">
        <v>233</v>
      </c>
      <c r="E73" s="27">
        <f>AR38</f>
        <v>269</v>
      </c>
      <c r="F73" s="27">
        <f>BE38</f>
        <v>9</v>
      </c>
      <c r="G73" s="57">
        <f t="shared" si="18"/>
        <v>278</v>
      </c>
      <c r="H73" s="56"/>
      <c r="I73" s="326" t="s">
        <v>91</v>
      </c>
      <c r="J73" s="327"/>
      <c r="K73" s="328">
        <v>0.41666666666666669</v>
      </c>
      <c r="L73" s="327"/>
      <c r="M73" s="328">
        <v>0.58333333333333337</v>
      </c>
      <c r="N73" s="327"/>
      <c r="O73" s="329" t="s">
        <v>88</v>
      </c>
      <c r="P73" s="327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6"/>
      <c r="AJ73" s="7"/>
      <c r="AK73" s="7"/>
      <c r="AL73" s="7"/>
      <c r="AM73" s="37"/>
      <c r="AN73" s="7"/>
      <c r="AO73" s="7"/>
      <c r="AP73" s="7"/>
      <c r="AQ73" s="37"/>
      <c r="AR73" s="37"/>
      <c r="AS73" s="37"/>
      <c r="AT73" s="37"/>
      <c r="AU73" s="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4"/>
    </row>
    <row r="74" spans="1:63" ht="15.75" customHeight="1">
      <c r="A74" s="3"/>
      <c r="B74" s="3"/>
      <c r="C74" s="3"/>
      <c r="D74" s="48" t="s">
        <v>81</v>
      </c>
      <c r="E74" s="50">
        <f t="shared" ref="E74:F74" si="19">SUM(E71:E73)</f>
        <v>526.5</v>
      </c>
      <c r="F74" s="50">
        <f t="shared" si="19"/>
        <v>51</v>
      </c>
      <c r="G74" s="58">
        <f t="shared" si="18"/>
        <v>577.5</v>
      </c>
      <c r="H74" s="56"/>
      <c r="I74" s="326" t="s">
        <v>93</v>
      </c>
      <c r="J74" s="327"/>
      <c r="K74" s="328">
        <v>0.58333333333333337</v>
      </c>
      <c r="L74" s="327"/>
      <c r="M74" s="328">
        <v>0.91666666666666663</v>
      </c>
      <c r="N74" s="327"/>
      <c r="O74" s="329" t="s">
        <v>83</v>
      </c>
      <c r="P74" s="327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6"/>
      <c r="AJ74" s="7"/>
      <c r="AK74" s="7"/>
      <c r="AL74" s="7"/>
      <c r="AM74" s="37"/>
      <c r="AN74" s="7"/>
      <c r="AO74" s="7"/>
      <c r="AP74" s="7"/>
      <c r="AQ74" s="37"/>
      <c r="AR74" s="37"/>
      <c r="AS74" s="37"/>
      <c r="AT74" s="37"/>
      <c r="AU74" s="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4"/>
    </row>
    <row r="75" spans="1:63" ht="15.75" customHeight="1">
      <c r="A75" s="3"/>
      <c r="B75" s="3"/>
      <c r="C75" s="3"/>
      <c r="D75" s="48" t="s">
        <v>86</v>
      </c>
      <c r="E75" s="50">
        <f>AT38</f>
        <v>39</v>
      </c>
      <c r="F75" s="50">
        <f>BG38</f>
        <v>11</v>
      </c>
      <c r="G75" s="58">
        <f t="shared" si="18"/>
        <v>50</v>
      </c>
      <c r="H75" s="56"/>
      <c r="I75" s="326" t="s">
        <v>94</v>
      </c>
      <c r="J75" s="327"/>
      <c r="K75" s="328">
        <v>0.58333333333333337</v>
      </c>
      <c r="L75" s="327"/>
      <c r="M75" s="328">
        <v>0.75</v>
      </c>
      <c r="N75" s="327"/>
      <c r="O75" s="329" t="s">
        <v>88</v>
      </c>
      <c r="P75" s="327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6"/>
      <c r="AJ75" s="7"/>
      <c r="AK75" s="7"/>
      <c r="AL75" s="7"/>
      <c r="AM75" s="37"/>
      <c r="AN75" s="7"/>
      <c r="AO75" s="7"/>
      <c r="AP75" s="7"/>
      <c r="AQ75" s="37"/>
      <c r="AR75" s="37"/>
      <c r="AS75" s="37"/>
      <c r="AT75" s="37"/>
      <c r="AU75" s="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4"/>
    </row>
    <row r="76" spans="1:63" ht="15.75" customHeight="1">
      <c r="A76" s="3"/>
      <c r="B76" s="3"/>
      <c r="C76" s="3"/>
      <c r="D76" s="48" t="s">
        <v>187</v>
      </c>
      <c r="E76" s="50">
        <f>AU38</f>
        <v>0</v>
      </c>
      <c r="F76" s="50">
        <f>BH38</f>
        <v>0</v>
      </c>
      <c r="G76" s="58">
        <f t="shared" si="18"/>
        <v>0</v>
      </c>
      <c r="H76" s="56"/>
      <c r="I76" s="326" t="s">
        <v>95</v>
      </c>
      <c r="J76" s="327"/>
      <c r="K76" s="328">
        <v>0.75</v>
      </c>
      <c r="L76" s="327"/>
      <c r="M76" s="328">
        <v>0.91666666666666663</v>
      </c>
      <c r="N76" s="327"/>
      <c r="O76" s="329" t="s">
        <v>88</v>
      </c>
      <c r="P76" s="327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6"/>
      <c r="AJ76" s="7"/>
      <c r="AK76" s="7"/>
      <c r="AL76" s="7"/>
      <c r="AM76" s="37"/>
      <c r="AN76" s="7"/>
      <c r="AO76" s="7"/>
      <c r="AP76" s="7"/>
      <c r="AQ76" s="37"/>
      <c r="AR76" s="37"/>
      <c r="AS76" s="37"/>
      <c r="AT76" s="37"/>
      <c r="AU76" s="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4"/>
    </row>
    <row r="77" spans="1:63" ht="15.75" customHeight="1">
      <c r="A77" s="3"/>
      <c r="B77" s="3"/>
      <c r="C77" s="3"/>
      <c r="D77" s="48" t="s">
        <v>234</v>
      </c>
      <c r="E77" s="50">
        <f t="shared" ref="E77:F77" si="20">SUM(E74:E76)</f>
        <v>565.5</v>
      </c>
      <c r="F77" s="50">
        <f t="shared" si="20"/>
        <v>62</v>
      </c>
      <c r="G77" s="58">
        <f t="shared" si="18"/>
        <v>627.5</v>
      </c>
      <c r="H77" s="56"/>
      <c r="I77" s="326" t="s">
        <v>89</v>
      </c>
      <c r="J77" s="327"/>
      <c r="K77" s="328">
        <v>0.3125</v>
      </c>
      <c r="L77" s="327"/>
      <c r="M77" s="328">
        <v>0.6875</v>
      </c>
      <c r="N77" s="327"/>
      <c r="O77" s="329" t="s">
        <v>83</v>
      </c>
      <c r="P77" s="327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6"/>
      <c r="AJ77" s="7"/>
      <c r="AK77" s="7"/>
      <c r="AL77" s="7"/>
      <c r="AM77" s="37"/>
      <c r="AN77" s="7"/>
      <c r="AO77" s="7"/>
      <c r="AP77" s="7"/>
      <c r="AQ77" s="37"/>
      <c r="AR77" s="37"/>
      <c r="AS77" s="37"/>
      <c r="AT77" s="37"/>
      <c r="AU77" s="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4"/>
    </row>
    <row r="78" spans="1:63" ht="15.75" customHeight="1">
      <c r="A78" s="3"/>
      <c r="B78" s="3"/>
      <c r="C78" s="3"/>
      <c r="D78" s="4"/>
      <c r="E78" s="4"/>
      <c r="F78" s="4"/>
      <c r="G78" s="4"/>
      <c r="H78" s="56"/>
      <c r="I78" s="326" t="s">
        <v>92</v>
      </c>
      <c r="J78" s="327"/>
      <c r="K78" s="328">
        <v>0.91666666666666663</v>
      </c>
      <c r="L78" s="327"/>
      <c r="M78" s="328">
        <v>0.25</v>
      </c>
      <c r="N78" s="327"/>
      <c r="O78" s="329" t="s">
        <v>83</v>
      </c>
      <c r="P78" s="327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6"/>
      <c r="AJ78" s="7"/>
      <c r="AK78" s="7"/>
      <c r="AL78" s="7"/>
      <c r="AM78" s="37"/>
      <c r="AN78" s="7"/>
      <c r="AO78" s="7"/>
      <c r="AP78" s="7"/>
      <c r="AQ78" s="37"/>
      <c r="AR78" s="37"/>
      <c r="AS78" s="37"/>
      <c r="AT78" s="37"/>
      <c r="AU78" s="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4"/>
    </row>
    <row r="79" spans="1:63" ht="15.75" customHeight="1">
      <c r="A79" s="3"/>
      <c r="B79" s="3"/>
      <c r="C79" s="3"/>
      <c r="D79" s="4"/>
      <c r="E79" s="4"/>
      <c r="F79" s="4"/>
      <c r="G79" s="4"/>
      <c r="H79" s="56"/>
      <c r="I79" s="326" t="s">
        <v>235</v>
      </c>
      <c r="J79" s="327"/>
      <c r="K79" s="328">
        <v>0.3125</v>
      </c>
      <c r="L79" s="327"/>
      <c r="M79" s="328">
        <v>0.6875</v>
      </c>
      <c r="N79" s="327"/>
      <c r="O79" s="329" t="s">
        <v>236</v>
      </c>
      <c r="P79" s="327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6"/>
      <c r="AJ79" s="7"/>
      <c r="AK79" s="7"/>
      <c r="AL79" s="7"/>
      <c r="AM79" s="37"/>
      <c r="AN79" s="7"/>
      <c r="AO79" s="7"/>
      <c r="AP79" s="7"/>
      <c r="AQ79" s="37"/>
      <c r="AR79" s="37"/>
      <c r="AS79" s="37"/>
      <c r="AT79" s="37"/>
      <c r="AU79" s="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4"/>
    </row>
    <row r="80" spans="1:63" ht="15.75" customHeight="1">
      <c r="A80" s="3"/>
      <c r="B80" s="3"/>
      <c r="C80" s="3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6"/>
      <c r="AJ80" s="7"/>
      <c r="AK80" s="7"/>
      <c r="AL80" s="7"/>
      <c r="AM80" s="37"/>
      <c r="AN80" s="7"/>
      <c r="AO80" s="7"/>
      <c r="AP80" s="7"/>
      <c r="AQ80" s="37"/>
      <c r="AR80" s="37"/>
      <c r="AS80" s="37"/>
      <c r="AT80" s="37"/>
      <c r="AU80" s="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4"/>
    </row>
    <row r="81" spans="1:63" ht="15.75" customHeight="1">
      <c r="A81" s="3"/>
      <c r="B81" s="3"/>
      <c r="C81" s="3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10" t="s">
        <v>237</v>
      </c>
      <c r="AJ81" s="7"/>
      <c r="AK81" s="7"/>
      <c r="AL81" s="7"/>
      <c r="AM81" s="37"/>
      <c r="AN81" s="7"/>
      <c r="AO81" s="7"/>
      <c r="AP81" s="7"/>
      <c r="AQ81" s="37"/>
      <c r="AR81" s="37"/>
      <c r="AS81" s="37"/>
      <c r="AT81" s="37"/>
      <c r="AU81" s="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4"/>
    </row>
    <row r="82" spans="1:63" ht="15.75" customHeight="1">
      <c r="A82" s="3"/>
      <c r="B82" s="3"/>
      <c r="C82" s="3"/>
      <c r="D82" s="59" t="s">
        <v>238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59" t="s">
        <v>239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60" t="s">
        <v>240</v>
      </c>
      <c r="AJ82" s="7"/>
      <c r="AK82" s="7"/>
      <c r="AL82" s="7"/>
      <c r="AM82" s="37"/>
      <c r="AN82" s="7"/>
      <c r="AO82" s="7"/>
      <c r="AP82" s="7"/>
      <c r="AQ82" s="37"/>
      <c r="AR82" s="37"/>
      <c r="AS82" s="37"/>
      <c r="AT82" s="37"/>
      <c r="AU82" s="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4"/>
    </row>
    <row r="83" spans="1:63" ht="15.75" customHeight="1">
      <c r="A83" s="3"/>
      <c r="B83" s="3"/>
      <c r="C83" s="3"/>
      <c r="D83" s="59" t="s">
        <v>241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59" t="s">
        <v>242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60" t="s">
        <v>243</v>
      </c>
      <c r="AJ83" s="7"/>
      <c r="AK83" s="7"/>
      <c r="AL83" s="7"/>
      <c r="AM83" s="37"/>
      <c r="AN83" s="7"/>
      <c r="AO83" s="7"/>
      <c r="AP83" s="7"/>
      <c r="AQ83" s="37"/>
      <c r="AR83" s="37"/>
      <c r="AS83" s="37"/>
      <c r="AT83" s="37"/>
      <c r="AU83" s="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4"/>
    </row>
    <row r="84" spans="1:63" ht="15.75" customHeight="1">
      <c r="A84" s="3"/>
      <c r="B84" s="3"/>
      <c r="C84" s="3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6"/>
      <c r="AJ84" s="7"/>
      <c r="AK84" s="7"/>
      <c r="AL84" s="7"/>
      <c r="AM84" s="37"/>
      <c r="AN84" s="7"/>
      <c r="AO84" s="7"/>
      <c r="AP84" s="7"/>
      <c r="AQ84" s="37"/>
      <c r="AR84" s="37"/>
      <c r="AS84" s="37"/>
      <c r="AT84" s="37"/>
      <c r="AU84" s="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4"/>
    </row>
    <row r="85" spans="1:63" ht="15.75" customHeight="1">
      <c r="A85" s="3"/>
      <c r="B85" s="3"/>
      <c r="C85" s="3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6"/>
      <c r="AJ85" s="7"/>
      <c r="AK85" s="7"/>
      <c r="AL85" s="7"/>
      <c r="AM85" s="37"/>
      <c r="AN85" s="7"/>
      <c r="AO85" s="7"/>
      <c r="AP85" s="7"/>
      <c r="AQ85" s="37"/>
      <c r="AR85" s="37"/>
      <c r="AS85" s="37"/>
      <c r="AT85" s="37"/>
      <c r="AU85" s="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4"/>
    </row>
    <row r="86" spans="1:63" ht="15.75" customHeight="1">
      <c r="A86" s="3"/>
      <c r="B86" s="3"/>
      <c r="C86" s="3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6"/>
      <c r="AJ86" s="7"/>
      <c r="AK86" s="7"/>
      <c r="AL86" s="7"/>
      <c r="AM86" s="37"/>
      <c r="AN86" s="7"/>
      <c r="AO86" s="7"/>
      <c r="AP86" s="7"/>
      <c r="AQ86" s="37"/>
      <c r="AR86" s="37"/>
      <c r="AS86" s="37"/>
      <c r="AT86" s="37"/>
      <c r="AU86" s="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4"/>
    </row>
    <row r="87" spans="1:63" ht="15.75" customHeight="1">
      <c r="A87" s="3"/>
      <c r="B87" s="3"/>
      <c r="C87" s="3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6"/>
      <c r="AJ87" s="7"/>
      <c r="AK87" s="7"/>
      <c r="AL87" s="7"/>
      <c r="AM87" s="37"/>
      <c r="AN87" s="7"/>
      <c r="AO87" s="7"/>
      <c r="AP87" s="7"/>
      <c r="AQ87" s="37"/>
      <c r="AR87" s="37"/>
      <c r="AS87" s="37"/>
      <c r="AT87" s="37"/>
      <c r="AU87" s="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4"/>
    </row>
    <row r="88" spans="1:63" ht="15.75" customHeight="1">
      <c r="A88" s="3"/>
      <c r="B88" s="3"/>
      <c r="C88" s="3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6"/>
      <c r="AJ88" s="7"/>
      <c r="AK88" s="7"/>
      <c r="AL88" s="7"/>
      <c r="AM88" s="37"/>
      <c r="AN88" s="7"/>
      <c r="AO88" s="7"/>
      <c r="AP88" s="7"/>
      <c r="AQ88" s="37"/>
      <c r="AR88" s="37"/>
      <c r="AS88" s="37"/>
      <c r="AT88" s="37"/>
      <c r="AU88" s="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4"/>
    </row>
    <row r="89" spans="1:63" ht="15.75" customHeight="1">
      <c r="A89" s="3"/>
      <c r="B89" s="3"/>
      <c r="C89" s="3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6"/>
      <c r="AJ89" s="7"/>
      <c r="AK89" s="7"/>
      <c r="AL89" s="7"/>
      <c r="AM89" s="37"/>
      <c r="AN89" s="7"/>
      <c r="AO89" s="7"/>
      <c r="AP89" s="7"/>
      <c r="AQ89" s="37"/>
      <c r="AR89" s="37"/>
      <c r="AS89" s="37"/>
      <c r="AT89" s="37"/>
      <c r="AU89" s="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4"/>
    </row>
    <row r="90" spans="1:63" ht="15.75" customHeight="1">
      <c r="A90" s="3"/>
      <c r="B90" s="3"/>
      <c r="C90" s="3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6"/>
      <c r="AJ90" s="7"/>
      <c r="AK90" s="7"/>
      <c r="AL90" s="7"/>
      <c r="AM90" s="37"/>
      <c r="AN90" s="7"/>
      <c r="AO90" s="7"/>
      <c r="AP90" s="7"/>
      <c r="AQ90" s="37"/>
      <c r="AR90" s="37"/>
      <c r="AS90" s="37"/>
      <c r="AT90" s="37"/>
      <c r="AU90" s="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4"/>
    </row>
    <row r="91" spans="1:63" ht="15.75" customHeight="1">
      <c r="A91" s="3"/>
      <c r="B91" s="3"/>
      <c r="C91" s="3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6"/>
      <c r="AJ91" s="7"/>
      <c r="AK91" s="8"/>
      <c r="AL91" s="7"/>
      <c r="AM91" s="4"/>
      <c r="AN91" s="7"/>
      <c r="AO91" s="7"/>
      <c r="AP91" s="7"/>
      <c r="AQ91" s="4"/>
      <c r="AR91" s="7"/>
      <c r="AS91" s="4"/>
      <c r="AT91" s="7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</row>
    <row r="92" spans="1:63" ht="15.75" customHeight="1">
      <c r="A92" s="3"/>
      <c r="B92" s="3"/>
      <c r="C92" s="3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6"/>
      <c r="AJ92" s="7"/>
      <c r="AK92" s="8"/>
      <c r="AL92" s="7"/>
      <c r="AM92" s="4"/>
      <c r="AN92" s="7"/>
      <c r="AO92" s="7"/>
      <c r="AP92" s="7"/>
      <c r="AQ92" s="4"/>
      <c r="AR92" s="7"/>
      <c r="AS92" s="4"/>
      <c r="AT92" s="7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</row>
    <row r="93" spans="1:63" ht="15.75" customHeight="1">
      <c r="A93" s="3"/>
      <c r="B93" s="3"/>
      <c r="C93" s="3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6"/>
      <c r="AJ93" s="7"/>
      <c r="AK93" s="8"/>
      <c r="AL93" s="7"/>
      <c r="AM93" s="4"/>
      <c r="AN93" s="7"/>
      <c r="AO93" s="7"/>
      <c r="AP93" s="7"/>
      <c r="AQ93" s="4"/>
      <c r="AR93" s="7"/>
      <c r="AS93" s="4"/>
      <c r="AT93" s="7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</row>
    <row r="94" spans="1:63" ht="15.75" customHeight="1">
      <c r="A94" s="3"/>
      <c r="B94" s="3"/>
      <c r="C94" s="3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6"/>
      <c r="AJ94" s="7"/>
      <c r="AK94" s="8"/>
      <c r="AL94" s="7"/>
      <c r="AM94" s="4"/>
      <c r="AN94" s="7"/>
      <c r="AO94" s="7"/>
      <c r="AP94" s="7"/>
      <c r="AQ94" s="4"/>
      <c r="AR94" s="7"/>
      <c r="AS94" s="4"/>
      <c r="AT94" s="7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</row>
    <row r="95" spans="1:63" ht="15.75" customHeight="1">
      <c r="A95" s="3"/>
      <c r="B95" s="3"/>
      <c r="C95" s="3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6"/>
      <c r="AJ95" s="7"/>
      <c r="AK95" s="8"/>
      <c r="AL95" s="7"/>
      <c r="AM95" s="4"/>
      <c r="AN95" s="7"/>
      <c r="AO95" s="7"/>
      <c r="AP95" s="7"/>
      <c r="AQ95" s="4"/>
      <c r="AR95" s="7"/>
      <c r="AS95" s="4"/>
      <c r="AT95" s="7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</row>
    <row r="96" spans="1:63" ht="15.75" customHeight="1">
      <c r="A96" s="3"/>
      <c r="B96" s="3"/>
      <c r="C96" s="3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6"/>
      <c r="AJ96" s="7"/>
      <c r="AK96" s="8"/>
      <c r="AL96" s="7"/>
      <c r="AM96" s="4"/>
      <c r="AN96" s="7"/>
      <c r="AO96" s="7"/>
      <c r="AP96" s="7"/>
      <c r="AQ96" s="4"/>
      <c r="AR96" s="7"/>
      <c r="AS96" s="4"/>
      <c r="AT96" s="7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</row>
    <row r="97" spans="1:63" ht="15.75" customHeight="1">
      <c r="A97" s="3"/>
      <c r="B97" s="3"/>
      <c r="C97" s="3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6"/>
      <c r="AJ97" s="7"/>
      <c r="AK97" s="8"/>
      <c r="AL97" s="7"/>
      <c r="AM97" s="4"/>
      <c r="AN97" s="7"/>
      <c r="AO97" s="7"/>
      <c r="AP97" s="7"/>
      <c r="AQ97" s="4"/>
      <c r="AR97" s="7"/>
      <c r="AS97" s="4"/>
      <c r="AT97" s="7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</row>
    <row r="98" spans="1:63" ht="15.75" customHeight="1">
      <c r="A98" s="3"/>
      <c r="B98" s="3"/>
      <c r="C98" s="3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6"/>
      <c r="AJ98" s="7"/>
      <c r="AK98" s="8"/>
      <c r="AL98" s="7"/>
      <c r="AM98" s="4"/>
      <c r="AN98" s="7"/>
      <c r="AO98" s="7"/>
      <c r="AP98" s="7"/>
      <c r="AQ98" s="4"/>
      <c r="AR98" s="7"/>
      <c r="AS98" s="4"/>
      <c r="AT98" s="7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</row>
    <row r="99" spans="1:63" ht="15.75" customHeight="1">
      <c r="A99" s="3"/>
      <c r="B99" s="3"/>
      <c r="C99" s="3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6"/>
      <c r="AJ99" s="7"/>
      <c r="AK99" s="8"/>
      <c r="AL99" s="7"/>
      <c r="AM99" s="4"/>
      <c r="AN99" s="7"/>
      <c r="AO99" s="7"/>
      <c r="AP99" s="7"/>
      <c r="AQ99" s="4"/>
      <c r="AR99" s="7"/>
      <c r="AS99" s="4"/>
      <c r="AT99" s="7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</row>
    <row r="100" spans="1:63" ht="15.75" customHeight="1">
      <c r="A100" s="3"/>
      <c r="B100" s="3"/>
      <c r="C100" s="3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6"/>
      <c r="AJ100" s="7"/>
      <c r="AK100" s="8"/>
      <c r="AL100" s="7"/>
      <c r="AM100" s="4"/>
      <c r="AN100" s="7"/>
      <c r="AO100" s="7"/>
      <c r="AP100" s="7"/>
      <c r="AQ100" s="4"/>
      <c r="AR100" s="7"/>
      <c r="AS100" s="4"/>
      <c r="AT100" s="7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</row>
    <row r="101" spans="1:63" ht="15.75" customHeight="1">
      <c r="A101" s="3"/>
      <c r="B101" s="3"/>
      <c r="C101" s="3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6"/>
      <c r="AJ101" s="7"/>
      <c r="AK101" s="8"/>
      <c r="AL101" s="7"/>
      <c r="AM101" s="4"/>
      <c r="AN101" s="7"/>
      <c r="AO101" s="7"/>
      <c r="AP101" s="7"/>
      <c r="AQ101" s="4"/>
      <c r="AR101" s="7"/>
      <c r="AS101" s="4"/>
      <c r="AT101" s="7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</row>
    <row r="102" spans="1:63" ht="15.75" customHeight="1">
      <c r="A102" s="3"/>
      <c r="B102" s="3"/>
      <c r="C102" s="3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6"/>
      <c r="AJ102" s="7"/>
      <c r="AK102" s="8"/>
      <c r="AL102" s="7"/>
      <c r="AM102" s="4"/>
      <c r="AN102" s="7"/>
      <c r="AO102" s="7"/>
      <c r="AP102" s="7"/>
      <c r="AQ102" s="4"/>
      <c r="AR102" s="7"/>
      <c r="AS102" s="4"/>
      <c r="AT102" s="7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</row>
    <row r="103" spans="1:63" ht="15.75" customHeight="1">
      <c r="A103" s="3"/>
      <c r="B103" s="3"/>
      <c r="C103" s="3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6"/>
      <c r="AJ103" s="7"/>
      <c r="AK103" s="8"/>
      <c r="AL103" s="7"/>
      <c r="AM103" s="4"/>
      <c r="AN103" s="7"/>
      <c r="AO103" s="7"/>
      <c r="AP103" s="7"/>
      <c r="AQ103" s="4"/>
      <c r="AR103" s="7"/>
      <c r="AS103" s="4"/>
      <c r="AT103" s="7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</row>
    <row r="104" spans="1:63" ht="15.75" customHeight="1">
      <c r="A104" s="3"/>
      <c r="B104" s="3"/>
      <c r="C104" s="3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6"/>
      <c r="AJ104" s="7"/>
      <c r="AK104" s="8"/>
      <c r="AL104" s="7"/>
      <c r="AM104" s="4"/>
      <c r="AN104" s="7"/>
      <c r="AO104" s="7"/>
      <c r="AP104" s="7"/>
      <c r="AQ104" s="4"/>
      <c r="AR104" s="7"/>
      <c r="AS104" s="4"/>
      <c r="AT104" s="7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</row>
    <row r="105" spans="1:63" ht="15.75" customHeight="1">
      <c r="A105" s="3"/>
      <c r="B105" s="3"/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6"/>
      <c r="AJ105" s="7"/>
      <c r="AK105" s="8"/>
      <c r="AL105" s="7"/>
      <c r="AM105" s="4"/>
      <c r="AN105" s="7"/>
      <c r="AO105" s="7"/>
      <c r="AP105" s="7"/>
      <c r="AQ105" s="4"/>
      <c r="AR105" s="7"/>
      <c r="AS105" s="4"/>
      <c r="AT105" s="7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</row>
    <row r="106" spans="1:63" ht="15.75" customHeight="1">
      <c r="A106" s="3"/>
      <c r="B106" s="3"/>
      <c r="C106" s="3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6"/>
      <c r="AJ106" s="7"/>
      <c r="AK106" s="8"/>
      <c r="AL106" s="7"/>
      <c r="AM106" s="4"/>
      <c r="AN106" s="7"/>
      <c r="AO106" s="7"/>
      <c r="AP106" s="7"/>
      <c r="AQ106" s="4"/>
      <c r="AR106" s="7"/>
      <c r="AS106" s="4"/>
      <c r="AT106" s="7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</row>
    <row r="107" spans="1:63" ht="15.75" customHeight="1">
      <c r="A107" s="3"/>
      <c r="B107" s="3"/>
      <c r="C107" s="3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6"/>
      <c r="AJ107" s="7"/>
      <c r="AK107" s="8"/>
      <c r="AL107" s="7"/>
      <c r="AM107" s="4"/>
      <c r="AN107" s="7"/>
      <c r="AO107" s="7"/>
      <c r="AP107" s="7"/>
      <c r="AQ107" s="4"/>
      <c r="AR107" s="7"/>
      <c r="AS107" s="4"/>
      <c r="AT107" s="7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</row>
    <row r="108" spans="1:63" ht="15.75" customHeight="1">
      <c r="A108" s="3"/>
      <c r="B108" s="3"/>
      <c r="C108" s="3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6"/>
      <c r="AJ108" s="7"/>
      <c r="AK108" s="8"/>
      <c r="AL108" s="7"/>
      <c r="AM108" s="4"/>
      <c r="AN108" s="7"/>
      <c r="AO108" s="7"/>
      <c r="AP108" s="7"/>
      <c r="AQ108" s="4"/>
      <c r="AR108" s="7"/>
      <c r="AS108" s="4"/>
      <c r="AT108" s="7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</row>
    <row r="109" spans="1:63" ht="15.75" customHeight="1">
      <c r="A109" s="3"/>
      <c r="B109" s="3"/>
      <c r="C109" s="3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6"/>
      <c r="AJ109" s="7"/>
      <c r="AK109" s="8"/>
      <c r="AL109" s="7"/>
      <c r="AM109" s="4"/>
      <c r="AN109" s="7"/>
      <c r="AO109" s="7"/>
      <c r="AP109" s="7"/>
      <c r="AQ109" s="4"/>
      <c r="AR109" s="7"/>
      <c r="AS109" s="4"/>
      <c r="AT109" s="7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</row>
    <row r="110" spans="1:63" ht="15.75" customHeight="1">
      <c r="A110" s="3"/>
      <c r="B110" s="3"/>
      <c r="C110" s="3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6"/>
      <c r="AJ110" s="7"/>
      <c r="AK110" s="8"/>
      <c r="AL110" s="7"/>
      <c r="AM110" s="4"/>
      <c r="AN110" s="7"/>
      <c r="AO110" s="7"/>
      <c r="AP110" s="7"/>
      <c r="AQ110" s="4"/>
      <c r="AR110" s="7"/>
      <c r="AS110" s="4"/>
      <c r="AT110" s="7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</row>
    <row r="111" spans="1:63" ht="15.75" customHeight="1">
      <c r="A111" s="3"/>
      <c r="B111" s="3"/>
      <c r="C111" s="3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6"/>
      <c r="AJ111" s="7"/>
      <c r="AK111" s="8"/>
      <c r="AL111" s="7"/>
      <c r="AM111" s="4"/>
      <c r="AN111" s="7"/>
      <c r="AO111" s="7"/>
      <c r="AP111" s="7"/>
      <c r="AQ111" s="4"/>
      <c r="AR111" s="7"/>
      <c r="AS111" s="4"/>
      <c r="AT111" s="7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</row>
    <row r="112" spans="1:63" ht="15.75" customHeight="1">
      <c r="A112" s="3"/>
      <c r="B112" s="3"/>
      <c r="C112" s="3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6"/>
      <c r="AJ112" s="7"/>
      <c r="AK112" s="8"/>
      <c r="AL112" s="7"/>
      <c r="AM112" s="4"/>
      <c r="AN112" s="7"/>
      <c r="AO112" s="7"/>
      <c r="AP112" s="7"/>
      <c r="AQ112" s="4"/>
      <c r="AR112" s="7"/>
      <c r="AS112" s="4"/>
      <c r="AT112" s="7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</row>
    <row r="113" spans="1:63" ht="15.75" customHeight="1">
      <c r="A113" s="3"/>
      <c r="B113" s="3"/>
      <c r="C113" s="3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6"/>
      <c r="AJ113" s="7"/>
      <c r="AK113" s="8"/>
      <c r="AL113" s="7"/>
      <c r="AM113" s="4"/>
      <c r="AN113" s="7"/>
      <c r="AO113" s="7"/>
      <c r="AP113" s="7"/>
      <c r="AQ113" s="4"/>
      <c r="AR113" s="7"/>
      <c r="AS113" s="4"/>
      <c r="AT113" s="7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</row>
    <row r="114" spans="1:63" ht="15.75" customHeight="1">
      <c r="A114" s="3"/>
      <c r="B114" s="3"/>
      <c r="C114" s="3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6"/>
      <c r="AJ114" s="7"/>
      <c r="AK114" s="8"/>
      <c r="AL114" s="7"/>
      <c r="AM114" s="4"/>
      <c r="AN114" s="7"/>
      <c r="AO114" s="7"/>
      <c r="AP114" s="7"/>
      <c r="AQ114" s="4"/>
      <c r="AR114" s="7"/>
      <c r="AS114" s="4"/>
      <c r="AT114" s="7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</row>
    <row r="115" spans="1:63" ht="15.75" customHeight="1">
      <c r="A115" s="3"/>
      <c r="B115" s="3"/>
      <c r="C115" s="3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6"/>
      <c r="AJ115" s="7"/>
      <c r="AK115" s="8"/>
      <c r="AL115" s="7"/>
      <c r="AM115" s="4"/>
      <c r="AN115" s="7"/>
      <c r="AO115" s="7"/>
      <c r="AP115" s="7"/>
      <c r="AQ115" s="4"/>
      <c r="AR115" s="7"/>
      <c r="AS115" s="4"/>
      <c r="AT115" s="7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</row>
    <row r="116" spans="1:63" ht="15.75" customHeight="1">
      <c r="A116" s="3"/>
      <c r="B116" s="3"/>
      <c r="C116" s="3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6"/>
      <c r="AJ116" s="7"/>
      <c r="AK116" s="8"/>
      <c r="AL116" s="7"/>
      <c r="AM116" s="4"/>
      <c r="AN116" s="7"/>
      <c r="AO116" s="7"/>
      <c r="AP116" s="7"/>
      <c r="AQ116" s="4"/>
      <c r="AR116" s="7"/>
      <c r="AS116" s="4"/>
      <c r="AT116" s="7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</row>
    <row r="117" spans="1:63" ht="15.75" customHeight="1">
      <c r="A117" s="3"/>
      <c r="B117" s="3"/>
      <c r="C117" s="3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6"/>
      <c r="AJ117" s="7"/>
      <c r="AK117" s="8"/>
      <c r="AL117" s="7"/>
      <c r="AM117" s="4"/>
      <c r="AN117" s="7"/>
      <c r="AO117" s="7"/>
      <c r="AP117" s="7"/>
      <c r="AQ117" s="4"/>
      <c r="AR117" s="7"/>
      <c r="AS117" s="4"/>
      <c r="AT117" s="7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</row>
    <row r="118" spans="1:63" ht="15.75" customHeight="1">
      <c r="A118" s="3"/>
      <c r="B118" s="3"/>
      <c r="C118" s="3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6"/>
      <c r="AJ118" s="7"/>
      <c r="AK118" s="8"/>
      <c r="AL118" s="7"/>
      <c r="AM118" s="4"/>
      <c r="AN118" s="7"/>
      <c r="AO118" s="7"/>
      <c r="AP118" s="7"/>
      <c r="AQ118" s="4"/>
      <c r="AR118" s="7"/>
      <c r="AS118" s="4"/>
      <c r="AT118" s="7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</row>
    <row r="119" spans="1:63" ht="15.75" customHeight="1">
      <c r="A119" s="3"/>
      <c r="B119" s="3"/>
      <c r="C119" s="3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6"/>
      <c r="AJ119" s="7"/>
      <c r="AK119" s="8"/>
      <c r="AL119" s="7"/>
      <c r="AM119" s="4"/>
      <c r="AN119" s="7"/>
      <c r="AO119" s="7"/>
      <c r="AP119" s="7"/>
      <c r="AQ119" s="4"/>
      <c r="AR119" s="7"/>
      <c r="AS119" s="4"/>
      <c r="AT119" s="7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</row>
    <row r="120" spans="1:63" ht="15.75" customHeight="1">
      <c r="A120" s="3"/>
      <c r="B120" s="3"/>
      <c r="C120" s="3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6"/>
      <c r="AJ120" s="7"/>
      <c r="AK120" s="8"/>
      <c r="AL120" s="7"/>
      <c r="AM120" s="4"/>
      <c r="AN120" s="7"/>
      <c r="AO120" s="7"/>
      <c r="AP120" s="7"/>
      <c r="AQ120" s="4"/>
      <c r="AR120" s="7"/>
      <c r="AS120" s="4"/>
      <c r="AT120" s="7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</row>
    <row r="121" spans="1:63" ht="15.75" customHeight="1">
      <c r="A121" s="3"/>
      <c r="B121" s="3"/>
      <c r="C121" s="3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6"/>
      <c r="AJ121" s="7"/>
      <c r="AK121" s="8"/>
      <c r="AL121" s="7"/>
      <c r="AM121" s="4"/>
      <c r="AN121" s="7"/>
      <c r="AO121" s="7"/>
      <c r="AP121" s="7"/>
      <c r="AQ121" s="4"/>
      <c r="AR121" s="7"/>
      <c r="AS121" s="4"/>
      <c r="AT121" s="7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</row>
    <row r="122" spans="1:63" ht="15.75" customHeight="1">
      <c r="A122" s="3"/>
      <c r="B122" s="3"/>
      <c r="C122" s="3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6"/>
      <c r="AJ122" s="7"/>
      <c r="AK122" s="8"/>
      <c r="AL122" s="7"/>
      <c r="AM122" s="4"/>
      <c r="AN122" s="7"/>
      <c r="AO122" s="7"/>
      <c r="AP122" s="7"/>
      <c r="AQ122" s="4"/>
      <c r="AR122" s="7"/>
      <c r="AS122" s="4"/>
      <c r="AT122" s="7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</row>
    <row r="123" spans="1:63" ht="15.75" customHeight="1">
      <c r="A123" s="3"/>
      <c r="B123" s="3"/>
      <c r="C123" s="3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6"/>
      <c r="AJ123" s="7"/>
      <c r="AK123" s="8"/>
      <c r="AL123" s="7"/>
      <c r="AM123" s="4"/>
      <c r="AN123" s="7"/>
      <c r="AO123" s="7"/>
      <c r="AP123" s="7"/>
      <c r="AQ123" s="4"/>
      <c r="AR123" s="7"/>
      <c r="AS123" s="4"/>
      <c r="AT123" s="7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</row>
    <row r="124" spans="1:63" ht="15.75" customHeight="1">
      <c r="A124" s="3"/>
      <c r="B124" s="3"/>
      <c r="C124" s="3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6"/>
      <c r="AJ124" s="7"/>
      <c r="AK124" s="8"/>
      <c r="AL124" s="7"/>
      <c r="AM124" s="4"/>
      <c r="AN124" s="7"/>
      <c r="AO124" s="7"/>
      <c r="AP124" s="7"/>
      <c r="AQ124" s="4"/>
      <c r="AR124" s="7"/>
      <c r="AS124" s="4"/>
      <c r="AT124" s="7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</row>
    <row r="125" spans="1:63" ht="15.75" customHeight="1">
      <c r="A125" s="3"/>
      <c r="B125" s="3"/>
      <c r="C125" s="3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6"/>
      <c r="AJ125" s="7"/>
      <c r="AK125" s="8"/>
      <c r="AL125" s="7"/>
      <c r="AM125" s="4"/>
      <c r="AN125" s="7"/>
      <c r="AO125" s="7"/>
      <c r="AP125" s="7"/>
      <c r="AQ125" s="4"/>
      <c r="AR125" s="7"/>
      <c r="AS125" s="4"/>
      <c r="AT125" s="7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</row>
    <row r="126" spans="1:63" ht="15.75" customHeight="1">
      <c r="A126" s="3"/>
      <c r="B126" s="3"/>
      <c r="C126" s="3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6"/>
      <c r="AJ126" s="7"/>
      <c r="AK126" s="8"/>
      <c r="AL126" s="7"/>
      <c r="AM126" s="4"/>
      <c r="AN126" s="7"/>
      <c r="AO126" s="7"/>
      <c r="AP126" s="7"/>
      <c r="AQ126" s="4"/>
      <c r="AR126" s="7"/>
      <c r="AS126" s="4"/>
      <c r="AT126" s="7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</row>
    <row r="127" spans="1:63" ht="15.75" customHeight="1">
      <c r="A127" s="3"/>
      <c r="B127" s="3"/>
      <c r="C127" s="3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6"/>
      <c r="AJ127" s="7"/>
      <c r="AK127" s="8"/>
      <c r="AL127" s="7"/>
      <c r="AM127" s="4"/>
      <c r="AN127" s="7"/>
      <c r="AO127" s="7"/>
      <c r="AP127" s="7"/>
      <c r="AQ127" s="4"/>
      <c r="AR127" s="7"/>
      <c r="AS127" s="4"/>
      <c r="AT127" s="7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</row>
    <row r="128" spans="1:63" ht="15.75" customHeight="1">
      <c r="A128" s="3"/>
      <c r="B128" s="3"/>
      <c r="C128" s="3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6"/>
      <c r="AJ128" s="7"/>
      <c r="AK128" s="8"/>
      <c r="AL128" s="7"/>
      <c r="AM128" s="4"/>
      <c r="AN128" s="7"/>
      <c r="AO128" s="7"/>
      <c r="AP128" s="7"/>
      <c r="AQ128" s="4"/>
      <c r="AR128" s="7"/>
      <c r="AS128" s="4"/>
      <c r="AT128" s="7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</row>
    <row r="129" spans="1:63" ht="15.75" customHeight="1">
      <c r="A129" s="3"/>
      <c r="B129" s="3"/>
      <c r="C129" s="3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6"/>
      <c r="AJ129" s="7"/>
      <c r="AK129" s="8"/>
      <c r="AL129" s="7"/>
      <c r="AM129" s="4"/>
      <c r="AN129" s="7"/>
      <c r="AO129" s="7"/>
      <c r="AP129" s="7"/>
      <c r="AQ129" s="4"/>
      <c r="AR129" s="7"/>
      <c r="AS129" s="4"/>
      <c r="AT129" s="7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</row>
    <row r="130" spans="1:63" ht="15.75" customHeight="1">
      <c r="A130" s="3"/>
      <c r="B130" s="3"/>
      <c r="C130" s="3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6"/>
      <c r="AJ130" s="7"/>
      <c r="AK130" s="8"/>
      <c r="AL130" s="7"/>
      <c r="AM130" s="4"/>
      <c r="AN130" s="7"/>
      <c r="AO130" s="7"/>
      <c r="AP130" s="7"/>
      <c r="AQ130" s="4"/>
      <c r="AR130" s="7"/>
      <c r="AS130" s="4"/>
      <c r="AT130" s="7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</row>
    <row r="131" spans="1:63" ht="15.75" customHeight="1">
      <c r="A131" s="3"/>
      <c r="B131" s="3"/>
      <c r="C131" s="3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6"/>
      <c r="AJ131" s="7"/>
      <c r="AK131" s="8"/>
      <c r="AL131" s="7"/>
      <c r="AM131" s="4"/>
      <c r="AN131" s="7"/>
      <c r="AO131" s="7"/>
      <c r="AP131" s="7"/>
      <c r="AQ131" s="4"/>
      <c r="AR131" s="7"/>
      <c r="AS131" s="4"/>
      <c r="AT131" s="7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</row>
    <row r="132" spans="1:63" ht="15.75" customHeight="1">
      <c r="A132" s="3"/>
      <c r="B132" s="3"/>
      <c r="C132" s="3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6"/>
      <c r="AJ132" s="7"/>
      <c r="AK132" s="8"/>
      <c r="AL132" s="7"/>
      <c r="AM132" s="4"/>
      <c r="AN132" s="7"/>
      <c r="AO132" s="7"/>
      <c r="AP132" s="7"/>
      <c r="AQ132" s="4"/>
      <c r="AR132" s="7"/>
      <c r="AS132" s="4"/>
      <c r="AT132" s="7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</row>
    <row r="133" spans="1:63" ht="15.75" customHeight="1">
      <c r="A133" s="3"/>
      <c r="B133" s="3"/>
      <c r="C133" s="3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6"/>
      <c r="AJ133" s="7"/>
      <c r="AK133" s="8"/>
      <c r="AL133" s="7"/>
      <c r="AM133" s="4"/>
      <c r="AN133" s="7"/>
      <c r="AO133" s="7"/>
      <c r="AP133" s="7"/>
      <c r="AQ133" s="4"/>
      <c r="AR133" s="7"/>
      <c r="AS133" s="4"/>
      <c r="AT133" s="7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</row>
    <row r="134" spans="1:63" ht="15.75" customHeight="1">
      <c r="A134" s="3"/>
      <c r="B134" s="3"/>
      <c r="C134" s="3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6"/>
      <c r="AJ134" s="7"/>
      <c r="AK134" s="8"/>
      <c r="AL134" s="7"/>
      <c r="AM134" s="4"/>
      <c r="AN134" s="7"/>
      <c r="AO134" s="7"/>
      <c r="AP134" s="7"/>
      <c r="AQ134" s="4"/>
      <c r="AR134" s="7"/>
      <c r="AS134" s="4"/>
      <c r="AT134" s="7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</row>
    <row r="135" spans="1:63" ht="15.75" customHeight="1">
      <c r="A135" s="3"/>
      <c r="B135" s="3"/>
      <c r="C135" s="3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6"/>
      <c r="AJ135" s="7"/>
      <c r="AK135" s="8"/>
      <c r="AL135" s="7"/>
      <c r="AM135" s="4"/>
      <c r="AN135" s="7"/>
      <c r="AO135" s="7"/>
      <c r="AP135" s="7"/>
      <c r="AQ135" s="4"/>
      <c r="AR135" s="7"/>
      <c r="AS135" s="4"/>
      <c r="AT135" s="7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</row>
    <row r="136" spans="1:63" ht="15.75" customHeight="1">
      <c r="A136" s="3"/>
      <c r="B136" s="3"/>
      <c r="C136" s="3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6"/>
      <c r="AJ136" s="7"/>
      <c r="AK136" s="8"/>
      <c r="AL136" s="7"/>
      <c r="AM136" s="4"/>
      <c r="AN136" s="7"/>
      <c r="AO136" s="7"/>
      <c r="AP136" s="7"/>
      <c r="AQ136" s="4"/>
      <c r="AR136" s="7"/>
      <c r="AS136" s="4"/>
      <c r="AT136" s="7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</row>
    <row r="137" spans="1:63" ht="15.75" customHeight="1">
      <c r="A137" s="3"/>
      <c r="B137" s="3"/>
      <c r="C137" s="3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6"/>
      <c r="AJ137" s="7"/>
      <c r="AK137" s="8"/>
      <c r="AL137" s="7"/>
      <c r="AM137" s="4"/>
      <c r="AN137" s="7"/>
      <c r="AO137" s="7"/>
      <c r="AP137" s="7"/>
      <c r="AQ137" s="4"/>
      <c r="AR137" s="7"/>
      <c r="AS137" s="4"/>
      <c r="AT137" s="7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</row>
    <row r="138" spans="1:63" ht="15.75" customHeight="1">
      <c r="A138" s="3"/>
      <c r="B138" s="3"/>
      <c r="C138" s="3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6"/>
      <c r="AJ138" s="7"/>
      <c r="AK138" s="8"/>
      <c r="AL138" s="7"/>
      <c r="AM138" s="4"/>
      <c r="AN138" s="7"/>
      <c r="AO138" s="7"/>
      <c r="AP138" s="7"/>
      <c r="AQ138" s="4"/>
      <c r="AR138" s="7"/>
      <c r="AS138" s="4"/>
      <c r="AT138" s="7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</row>
    <row r="139" spans="1:63" ht="15.75" customHeight="1">
      <c r="A139" s="3"/>
      <c r="B139" s="3"/>
      <c r="C139" s="3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6"/>
      <c r="AJ139" s="7"/>
      <c r="AK139" s="8"/>
      <c r="AL139" s="7"/>
      <c r="AM139" s="4"/>
      <c r="AN139" s="7"/>
      <c r="AO139" s="7"/>
      <c r="AP139" s="7"/>
      <c r="AQ139" s="4"/>
      <c r="AR139" s="7"/>
      <c r="AS139" s="4"/>
      <c r="AT139" s="7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</row>
    <row r="140" spans="1:63" ht="15.75" customHeight="1">
      <c r="A140" s="3"/>
      <c r="B140" s="3"/>
      <c r="C140" s="3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6"/>
      <c r="AJ140" s="7"/>
      <c r="AK140" s="8"/>
      <c r="AL140" s="7"/>
      <c r="AM140" s="4"/>
      <c r="AN140" s="7"/>
      <c r="AO140" s="7"/>
      <c r="AP140" s="7"/>
      <c r="AQ140" s="4"/>
      <c r="AR140" s="7"/>
      <c r="AS140" s="4"/>
      <c r="AT140" s="7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</row>
    <row r="141" spans="1:63" ht="15.75" customHeight="1">
      <c r="A141" s="3"/>
      <c r="B141" s="3"/>
      <c r="C141" s="3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6"/>
      <c r="AJ141" s="7"/>
      <c r="AK141" s="8"/>
      <c r="AL141" s="7"/>
      <c r="AM141" s="4"/>
      <c r="AN141" s="7"/>
      <c r="AO141" s="7"/>
      <c r="AP141" s="7"/>
      <c r="AQ141" s="4"/>
      <c r="AR141" s="7"/>
      <c r="AS141" s="4"/>
      <c r="AT141" s="7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</row>
    <row r="142" spans="1:63" ht="15.75" customHeight="1">
      <c r="A142" s="3"/>
      <c r="B142" s="3"/>
      <c r="C142" s="3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6"/>
      <c r="AJ142" s="7"/>
      <c r="AK142" s="8"/>
      <c r="AL142" s="7"/>
      <c r="AM142" s="4"/>
      <c r="AN142" s="7"/>
      <c r="AO142" s="7"/>
      <c r="AP142" s="7"/>
      <c r="AQ142" s="4"/>
      <c r="AR142" s="7"/>
      <c r="AS142" s="4"/>
      <c r="AT142" s="7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</row>
    <row r="143" spans="1:63" ht="15.75" customHeight="1">
      <c r="A143" s="3"/>
      <c r="B143" s="3"/>
      <c r="C143" s="3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6"/>
      <c r="AJ143" s="7"/>
      <c r="AK143" s="8"/>
      <c r="AL143" s="7"/>
      <c r="AM143" s="4"/>
      <c r="AN143" s="7"/>
      <c r="AO143" s="7"/>
      <c r="AP143" s="7"/>
      <c r="AQ143" s="4"/>
      <c r="AR143" s="7"/>
      <c r="AS143" s="4"/>
      <c r="AT143" s="7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</row>
    <row r="144" spans="1:63" ht="15.75" customHeight="1">
      <c r="A144" s="3"/>
      <c r="B144" s="3"/>
      <c r="C144" s="3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6"/>
      <c r="AJ144" s="7"/>
      <c r="AK144" s="8"/>
      <c r="AL144" s="7"/>
      <c r="AM144" s="4"/>
      <c r="AN144" s="7"/>
      <c r="AO144" s="7"/>
      <c r="AP144" s="7"/>
      <c r="AQ144" s="4"/>
      <c r="AR144" s="7"/>
      <c r="AS144" s="4"/>
      <c r="AT144" s="7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</row>
    <row r="145" spans="1:63" ht="15.75" customHeight="1">
      <c r="A145" s="3"/>
      <c r="B145" s="3"/>
      <c r="C145" s="3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6"/>
      <c r="AJ145" s="7"/>
      <c r="AK145" s="8"/>
      <c r="AL145" s="7"/>
      <c r="AM145" s="4"/>
      <c r="AN145" s="7"/>
      <c r="AO145" s="7"/>
      <c r="AP145" s="7"/>
      <c r="AQ145" s="4"/>
      <c r="AR145" s="7"/>
      <c r="AS145" s="4"/>
      <c r="AT145" s="7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</row>
    <row r="146" spans="1:63" ht="15.75" customHeight="1">
      <c r="A146" s="3"/>
      <c r="B146" s="3"/>
      <c r="C146" s="3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6"/>
      <c r="AJ146" s="7"/>
      <c r="AK146" s="8"/>
      <c r="AL146" s="7"/>
      <c r="AM146" s="4"/>
      <c r="AN146" s="7"/>
      <c r="AO146" s="7"/>
      <c r="AP146" s="7"/>
      <c r="AQ146" s="4"/>
      <c r="AR146" s="7"/>
      <c r="AS146" s="4"/>
      <c r="AT146" s="7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</row>
    <row r="147" spans="1:63" ht="15.75" customHeight="1">
      <c r="A147" s="3"/>
      <c r="B147" s="3"/>
      <c r="C147" s="3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6"/>
      <c r="AJ147" s="7"/>
      <c r="AK147" s="8"/>
      <c r="AL147" s="7"/>
      <c r="AM147" s="4"/>
      <c r="AN147" s="7"/>
      <c r="AO147" s="7"/>
      <c r="AP147" s="7"/>
      <c r="AQ147" s="4"/>
      <c r="AR147" s="7"/>
      <c r="AS147" s="4"/>
      <c r="AT147" s="7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</row>
    <row r="148" spans="1:63" ht="15.75" customHeight="1">
      <c r="A148" s="3"/>
      <c r="B148" s="3"/>
      <c r="C148" s="3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6"/>
      <c r="AJ148" s="7"/>
      <c r="AK148" s="8"/>
      <c r="AL148" s="7"/>
      <c r="AM148" s="4"/>
      <c r="AN148" s="7"/>
      <c r="AO148" s="7"/>
      <c r="AP148" s="7"/>
      <c r="AQ148" s="4"/>
      <c r="AR148" s="7"/>
      <c r="AS148" s="4"/>
      <c r="AT148" s="7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</row>
    <row r="149" spans="1:63" ht="15.75" customHeight="1">
      <c r="A149" s="3"/>
      <c r="B149" s="3"/>
      <c r="C149" s="3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6"/>
      <c r="AJ149" s="7"/>
      <c r="AK149" s="8"/>
      <c r="AL149" s="7"/>
      <c r="AM149" s="4"/>
      <c r="AN149" s="7"/>
      <c r="AO149" s="7"/>
      <c r="AP149" s="7"/>
      <c r="AQ149" s="4"/>
      <c r="AR149" s="7"/>
      <c r="AS149" s="4"/>
      <c r="AT149" s="7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</row>
    <row r="150" spans="1:63" ht="15.75" customHeight="1">
      <c r="A150" s="3"/>
      <c r="B150" s="3"/>
      <c r="C150" s="3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6"/>
      <c r="AJ150" s="7"/>
      <c r="AK150" s="8"/>
      <c r="AL150" s="7"/>
      <c r="AM150" s="4"/>
      <c r="AN150" s="7"/>
      <c r="AO150" s="7"/>
      <c r="AP150" s="7"/>
      <c r="AQ150" s="4"/>
      <c r="AR150" s="7"/>
      <c r="AS150" s="4"/>
      <c r="AT150" s="7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</row>
    <row r="151" spans="1:63" ht="15.75" customHeight="1">
      <c r="A151" s="3"/>
      <c r="B151" s="3"/>
      <c r="C151" s="3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6"/>
      <c r="AJ151" s="7"/>
      <c r="AK151" s="8"/>
      <c r="AL151" s="7"/>
      <c r="AM151" s="4"/>
      <c r="AN151" s="7"/>
      <c r="AO151" s="7"/>
      <c r="AP151" s="7"/>
      <c r="AQ151" s="4"/>
      <c r="AR151" s="7"/>
      <c r="AS151" s="4"/>
      <c r="AT151" s="7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</row>
    <row r="152" spans="1:63" ht="15.75" customHeight="1">
      <c r="A152" s="3"/>
      <c r="B152" s="3"/>
      <c r="C152" s="3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6"/>
      <c r="AJ152" s="7"/>
      <c r="AK152" s="8"/>
      <c r="AL152" s="7"/>
      <c r="AM152" s="4"/>
      <c r="AN152" s="7"/>
      <c r="AO152" s="7"/>
      <c r="AP152" s="7"/>
      <c r="AQ152" s="4"/>
      <c r="AR152" s="7"/>
      <c r="AS152" s="4"/>
      <c r="AT152" s="7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</row>
    <row r="153" spans="1:63" ht="15.75" customHeight="1">
      <c r="A153" s="3"/>
      <c r="B153" s="3"/>
      <c r="C153" s="3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6"/>
      <c r="AJ153" s="7"/>
      <c r="AK153" s="8"/>
      <c r="AL153" s="7"/>
      <c r="AM153" s="4"/>
      <c r="AN153" s="7"/>
      <c r="AO153" s="7"/>
      <c r="AP153" s="7"/>
      <c r="AQ153" s="4"/>
      <c r="AR153" s="7"/>
      <c r="AS153" s="4"/>
      <c r="AT153" s="7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</row>
    <row r="154" spans="1:63" ht="15.75" customHeight="1">
      <c r="A154" s="3"/>
      <c r="B154" s="3"/>
      <c r="C154" s="3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6"/>
      <c r="AJ154" s="7"/>
      <c r="AK154" s="8"/>
      <c r="AL154" s="7"/>
      <c r="AM154" s="4"/>
      <c r="AN154" s="7"/>
      <c r="AO154" s="7"/>
      <c r="AP154" s="7"/>
      <c r="AQ154" s="4"/>
      <c r="AR154" s="7"/>
      <c r="AS154" s="4"/>
      <c r="AT154" s="7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</row>
    <row r="155" spans="1:63" ht="15.75" customHeight="1">
      <c r="A155" s="3"/>
      <c r="B155" s="3"/>
      <c r="C155" s="3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6"/>
      <c r="AJ155" s="7"/>
      <c r="AK155" s="8"/>
      <c r="AL155" s="7"/>
      <c r="AM155" s="4"/>
      <c r="AN155" s="7"/>
      <c r="AO155" s="7"/>
      <c r="AP155" s="7"/>
      <c r="AQ155" s="4"/>
      <c r="AR155" s="7"/>
      <c r="AS155" s="4"/>
      <c r="AT155" s="7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</row>
    <row r="156" spans="1:63" ht="15.75" customHeight="1">
      <c r="A156" s="3"/>
      <c r="B156" s="3"/>
      <c r="C156" s="3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6"/>
      <c r="AJ156" s="7"/>
      <c r="AK156" s="8"/>
      <c r="AL156" s="7"/>
      <c r="AM156" s="4"/>
      <c r="AN156" s="7"/>
      <c r="AO156" s="7"/>
      <c r="AP156" s="7"/>
      <c r="AQ156" s="4"/>
      <c r="AR156" s="7"/>
      <c r="AS156" s="4"/>
      <c r="AT156" s="7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</row>
    <row r="157" spans="1:63" ht="15.75" customHeight="1">
      <c r="A157" s="3"/>
      <c r="B157" s="3"/>
      <c r="C157" s="3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6"/>
      <c r="AJ157" s="7"/>
      <c r="AK157" s="8"/>
      <c r="AL157" s="7"/>
      <c r="AM157" s="4"/>
      <c r="AN157" s="7"/>
      <c r="AO157" s="7"/>
      <c r="AP157" s="7"/>
      <c r="AQ157" s="4"/>
      <c r="AR157" s="7"/>
      <c r="AS157" s="4"/>
      <c r="AT157" s="7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</row>
    <row r="158" spans="1:63" ht="15.75" customHeight="1">
      <c r="A158" s="3"/>
      <c r="B158" s="3"/>
      <c r="C158" s="3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6"/>
      <c r="AJ158" s="7"/>
      <c r="AK158" s="8"/>
      <c r="AL158" s="7"/>
      <c r="AM158" s="4"/>
      <c r="AN158" s="7"/>
      <c r="AO158" s="7"/>
      <c r="AP158" s="7"/>
      <c r="AQ158" s="4"/>
      <c r="AR158" s="7"/>
      <c r="AS158" s="4"/>
      <c r="AT158" s="7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</row>
    <row r="159" spans="1:63" ht="15.75" customHeight="1">
      <c r="A159" s="3"/>
      <c r="B159" s="3"/>
      <c r="C159" s="3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6"/>
      <c r="AJ159" s="7"/>
      <c r="AK159" s="8"/>
      <c r="AL159" s="7"/>
      <c r="AM159" s="4"/>
      <c r="AN159" s="7"/>
      <c r="AO159" s="7"/>
      <c r="AP159" s="7"/>
      <c r="AQ159" s="4"/>
      <c r="AR159" s="7"/>
      <c r="AS159" s="4"/>
      <c r="AT159" s="7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</row>
    <row r="160" spans="1:63" ht="15.75" customHeight="1">
      <c r="A160" s="3"/>
      <c r="B160" s="3"/>
      <c r="C160" s="3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6"/>
      <c r="AJ160" s="7"/>
      <c r="AK160" s="8"/>
      <c r="AL160" s="7"/>
      <c r="AM160" s="4"/>
      <c r="AN160" s="7"/>
      <c r="AO160" s="7"/>
      <c r="AP160" s="7"/>
      <c r="AQ160" s="4"/>
      <c r="AR160" s="7"/>
      <c r="AS160" s="4"/>
      <c r="AT160" s="7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</row>
    <row r="161" spans="1:63" ht="15.75" customHeight="1">
      <c r="A161" s="3"/>
      <c r="B161" s="3"/>
      <c r="C161" s="3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6"/>
      <c r="AJ161" s="7"/>
      <c r="AK161" s="8"/>
      <c r="AL161" s="7"/>
      <c r="AM161" s="4"/>
      <c r="AN161" s="7"/>
      <c r="AO161" s="7"/>
      <c r="AP161" s="7"/>
      <c r="AQ161" s="4"/>
      <c r="AR161" s="7"/>
      <c r="AS161" s="4"/>
      <c r="AT161" s="7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</row>
    <row r="162" spans="1:63" ht="15.75" customHeight="1">
      <c r="A162" s="3"/>
      <c r="B162" s="3"/>
      <c r="C162" s="3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6"/>
      <c r="AJ162" s="7"/>
      <c r="AK162" s="8"/>
      <c r="AL162" s="7"/>
      <c r="AM162" s="4"/>
      <c r="AN162" s="7"/>
      <c r="AO162" s="7"/>
      <c r="AP162" s="7"/>
      <c r="AQ162" s="4"/>
      <c r="AR162" s="7"/>
      <c r="AS162" s="4"/>
      <c r="AT162" s="7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</row>
    <row r="163" spans="1:63" ht="15.75" customHeight="1">
      <c r="A163" s="3"/>
      <c r="B163" s="3"/>
      <c r="C163" s="3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6"/>
      <c r="AJ163" s="7"/>
      <c r="AK163" s="8"/>
      <c r="AL163" s="7"/>
      <c r="AM163" s="4"/>
      <c r="AN163" s="7"/>
      <c r="AO163" s="7"/>
      <c r="AP163" s="7"/>
      <c r="AQ163" s="4"/>
      <c r="AR163" s="7"/>
      <c r="AS163" s="4"/>
      <c r="AT163" s="7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</row>
    <row r="164" spans="1:63" ht="15.75" customHeight="1">
      <c r="A164" s="3"/>
      <c r="B164" s="3"/>
      <c r="C164" s="3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6"/>
      <c r="AJ164" s="7"/>
      <c r="AK164" s="8"/>
      <c r="AL164" s="7"/>
      <c r="AM164" s="4"/>
      <c r="AN164" s="7"/>
      <c r="AO164" s="7"/>
      <c r="AP164" s="7"/>
      <c r="AQ164" s="4"/>
      <c r="AR164" s="7"/>
      <c r="AS164" s="4"/>
      <c r="AT164" s="7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</row>
    <row r="165" spans="1:63" ht="15.75" customHeight="1">
      <c r="A165" s="3"/>
      <c r="B165" s="3"/>
      <c r="C165" s="3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6"/>
      <c r="AJ165" s="7"/>
      <c r="AK165" s="8"/>
      <c r="AL165" s="7"/>
      <c r="AM165" s="4"/>
      <c r="AN165" s="7"/>
      <c r="AO165" s="7"/>
      <c r="AP165" s="7"/>
      <c r="AQ165" s="4"/>
      <c r="AR165" s="7"/>
      <c r="AS165" s="4"/>
      <c r="AT165" s="7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</row>
    <row r="166" spans="1:63" ht="15.75" customHeight="1">
      <c r="A166" s="3"/>
      <c r="B166" s="3"/>
      <c r="C166" s="3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6"/>
      <c r="AJ166" s="7"/>
      <c r="AK166" s="8"/>
      <c r="AL166" s="7"/>
      <c r="AM166" s="4"/>
      <c r="AN166" s="7"/>
      <c r="AO166" s="7"/>
      <c r="AP166" s="7"/>
      <c r="AQ166" s="4"/>
      <c r="AR166" s="7"/>
      <c r="AS166" s="4"/>
      <c r="AT166" s="7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</row>
    <row r="167" spans="1:63" ht="15.75" customHeight="1">
      <c r="A167" s="3"/>
      <c r="B167" s="3"/>
      <c r="C167" s="3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6"/>
      <c r="AJ167" s="7"/>
      <c r="AK167" s="8"/>
      <c r="AL167" s="7"/>
      <c r="AM167" s="4"/>
      <c r="AN167" s="7"/>
      <c r="AO167" s="7"/>
      <c r="AP167" s="7"/>
      <c r="AQ167" s="4"/>
      <c r="AR167" s="7"/>
      <c r="AS167" s="4"/>
      <c r="AT167" s="7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</row>
    <row r="168" spans="1:63" ht="15.75" customHeight="1">
      <c r="A168" s="3"/>
      <c r="B168" s="3"/>
      <c r="C168" s="3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6"/>
      <c r="AJ168" s="7"/>
      <c r="AK168" s="8"/>
      <c r="AL168" s="7"/>
      <c r="AM168" s="4"/>
      <c r="AN168" s="7"/>
      <c r="AO168" s="7"/>
      <c r="AP168" s="7"/>
      <c r="AQ168" s="4"/>
      <c r="AR168" s="7"/>
      <c r="AS168" s="4"/>
      <c r="AT168" s="7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</row>
    <row r="169" spans="1:63" ht="15.75" customHeight="1">
      <c r="A169" s="3"/>
      <c r="B169" s="3"/>
      <c r="C169" s="3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6"/>
      <c r="AJ169" s="7"/>
      <c r="AK169" s="8"/>
      <c r="AL169" s="7"/>
      <c r="AM169" s="4"/>
      <c r="AN169" s="7"/>
      <c r="AO169" s="7"/>
      <c r="AP169" s="7"/>
      <c r="AQ169" s="4"/>
      <c r="AR169" s="7"/>
      <c r="AS169" s="4"/>
      <c r="AT169" s="7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</row>
    <row r="170" spans="1:63" ht="15.75" customHeight="1">
      <c r="A170" s="3"/>
      <c r="B170" s="3"/>
      <c r="C170" s="3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6"/>
      <c r="AJ170" s="7"/>
      <c r="AK170" s="8"/>
      <c r="AL170" s="7"/>
      <c r="AM170" s="4"/>
      <c r="AN170" s="7"/>
      <c r="AO170" s="7"/>
      <c r="AP170" s="7"/>
      <c r="AQ170" s="4"/>
      <c r="AR170" s="7"/>
      <c r="AS170" s="4"/>
      <c r="AT170" s="7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</row>
    <row r="171" spans="1:63" ht="15.75" customHeight="1">
      <c r="A171" s="3"/>
      <c r="B171" s="3"/>
      <c r="C171" s="3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6"/>
      <c r="AJ171" s="7"/>
      <c r="AK171" s="8"/>
      <c r="AL171" s="7"/>
      <c r="AM171" s="4"/>
      <c r="AN171" s="7"/>
      <c r="AO171" s="7"/>
      <c r="AP171" s="7"/>
      <c r="AQ171" s="4"/>
      <c r="AR171" s="7"/>
      <c r="AS171" s="4"/>
      <c r="AT171" s="7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</row>
    <row r="172" spans="1:63" ht="15.75" customHeight="1">
      <c r="A172" s="3"/>
      <c r="B172" s="3"/>
      <c r="C172" s="3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6"/>
      <c r="AJ172" s="7"/>
      <c r="AK172" s="8"/>
      <c r="AL172" s="7"/>
      <c r="AM172" s="4"/>
      <c r="AN172" s="7"/>
      <c r="AO172" s="7"/>
      <c r="AP172" s="7"/>
      <c r="AQ172" s="4"/>
      <c r="AR172" s="7"/>
      <c r="AS172" s="4"/>
      <c r="AT172" s="7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</row>
    <row r="173" spans="1:63" ht="15.75" customHeight="1">
      <c r="A173" s="3"/>
      <c r="B173" s="3"/>
      <c r="C173" s="3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6"/>
      <c r="AJ173" s="7"/>
      <c r="AK173" s="8"/>
      <c r="AL173" s="7"/>
      <c r="AM173" s="4"/>
      <c r="AN173" s="7"/>
      <c r="AO173" s="7"/>
      <c r="AP173" s="7"/>
      <c r="AQ173" s="4"/>
      <c r="AR173" s="7"/>
      <c r="AS173" s="4"/>
      <c r="AT173" s="7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</row>
    <row r="174" spans="1:63" ht="15.75" customHeight="1">
      <c r="A174" s="3"/>
      <c r="B174" s="3"/>
      <c r="C174" s="3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6"/>
      <c r="AJ174" s="7"/>
      <c r="AK174" s="8"/>
      <c r="AL174" s="7"/>
      <c r="AM174" s="4"/>
      <c r="AN174" s="7"/>
      <c r="AO174" s="7"/>
      <c r="AP174" s="7"/>
      <c r="AQ174" s="4"/>
      <c r="AR174" s="7"/>
      <c r="AS174" s="4"/>
      <c r="AT174" s="7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</row>
    <row r="175" spans="1:63" ht="15.75" customHeight="1">
      <c r="A175" s="3"/>
      <c r="B175" s="3"/>
      <c r="C175" s="3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6"/>
      <c r="AJ175" s="7"/>
      <c r="AK175" s="8"/>
      <c r="AL175" s="7"/>
      <c r="AM175" s="4"/>
      <c r="AN175" s="7"/>
      <c r="AO175" s="7"/>
      <c r="AP175" s="7"/>
      <c r="AQ175" s="4"/>
      <c r="AR175" s="7"/>
      <c r="AS175" s="4"/>
      <c r="AT175" s="7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</row>
    <row r="176" spans="1:63" ht="15.75" customHeight="1">
      <c r="A176" s="3"/>
      <c r="B176" s="3"/>
      <c r="C176" s="3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6"/>
      <c r="AJ176" s="7"/>
      <c r="AK176" s="8"/>
      <c r="AL176" s="7"/>
      <c r="AM176" s="4"/>
      <c r="AN176" s="7"/>
      <c r="AO176" s="7"/>
      <c r="AP176" s="7"/>
      <c r="AQ176" s="4"/>
      <c r="AR176" s="7"/>
      <c r="AS176" s="4"/>
      <c r="AT176" s="7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</row>
    <row r="177" spans="1:63" ht="15.75" customHeight="1">
      <c r="A177" s="3"/>
      <c r="B177" s="3"/>
      <c r="C177" s="3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6"/>
      <c r="AJ177" s="7"/>
      <c r="AK177" s="8"/>
      <c r="AL177" s="7"/>
      <c r="AM177" s="4"/>
      <c r="AN177" s="7"/>
      <c r="AO177" s="7"/>
      <c r="AP177" s="7"/>
      <c r="AQ177" s="4"/>
      <c r="AR177" s="7"/>
      <c r="AS177" s="4"/>
      <c r="AT177" s="7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</row>
    <row r="178" spans="1:63" ht="15.75" customHeight="1">
      <c r="A178" s="3"/>
      <c r="B178" s="3"/>
      <c r="C178" s="3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6"/>
      <c r="AJ178" s="7"/>
      <c r="AK178" s="8"/>
      <c r="AL178" s="7"/>
      <c r="AM178" s="4"/>
      <c r="AN178" s="7"/>
      <c r="AO178" s="7"/>
      <c r="AP178" s="7"/>
      <c r="AQ178" s="4"/>
      <c r="AR178" s="7"/>
      <c r="AS178" s="4"/>
      <c r="AT178" s="7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</row>
    <row r="179" spans="1:63" ht="15.75" customHeight="1">
      <c r="A179" s="3"/>
      <c r="B179" s="3"/>
      <c r="C179" s="3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6"/>
      <c r="AJ179" s="7"/>
      <c r="AK179" s="8"/>
      <c r="AL179" s="7"/>
      <c r="AM179" s="4"/>
      <c r="AN179" s="7"/>
      <c r="AO179" s="7"/>
      <c r="AP179" s="7"/>
      <c r="AQ179" s="4"/>
      <c r="AR179" s="7"/>
      <c r="AS179" s="4"/>
      <c r="AT179" s="7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</row>
    <row r="180" spans="1:63" ht="15.75" customHeight="1">
      <c r="A180" s="3"/>
      <c r="B180" s="3"/>
      <c r="C180" s="3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6"/>
      <c r="AJ180" s="7"/>
      <c r="AK180" s="8"/>
      <c r="AL180" s="7"/>
      <c r="AM180" s="4"/>
      <c r="AN180" s="7"/>
      <c r="AO180" s="7"/>
      <c r="AP180" s="7"/>
      <c r="AQ180" s="4"/>
      <c r="AR180" s="7"/>
      <c r="AS180" s="4"/>
      <c r="AT180" s="7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</row>
    <row r="181" spans="1:63" ht="15.75" customHeight="1">
      <c r="A181" s="3"/>
      <c r="B181" s="3"/>
      <c r="C181" s="3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6"/>
      <c r="AJ181" s="7"/>
      <c r="AK181" s="8"/>
      <c r="AL181" s="7"/>
      <c r="AM181" s="4"/>
      <c r="AN181" s="7"/>
      <c r="AO181" s="7"/>
      <c r="AP181" s="7"/>
      <c r="AQ181" s="4"/>
      <c r="AR181" s="7"/>
      <c r="AS181" s="4"/>
      <c r="AT181" s="7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</row>
    <row r="182" spans="1:63" ht="15.75" customHeight="1">
      <c r="A182" s="3"/>
      <c r="B182" s="3"/>
      <c r="C182" s="3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6"/>
      <c r="AJ182" s="7"/>
      <c r="AK182" s="8"/>
      <c r="AL182" s="7"/>
      <c r="AM182" s="4"/>
      <c r="AN182" s="7"/>
      <c r="AO182" s="7"/>
      <c r="AP182" s="7"/>
      <c r="AQ182" s="4"/>
      <c r="AR182" s="7"/>
      <c r="AS182" s="4"/>
      <c r="AT182" s="7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</row>
    <row r="183" spans="1:63" ht="15.75" customHeight="1">
      <c r="A183" s="3"/>
      <c r="B183" s="3"/>
      <c r="C183" s="3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6"/>
      <c r="AJ183" s="7"/>
      <c r="AK183" s="8"/>
      <c r="AL183" s="7"/>
      <c r="AM183" s="4"/>
      <c r="AN183" s="7"/>
      <c r="AO183" s="7"/>
      <c r="AP183" s="7"/>
      <c r="AQ183" s="4"/>
      <c r="AR183" s="7"/>
      <c r="AS183" s="4"/>
      <c r="AT183" s="7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</row>
    <row r="184" spans="1:63" ht="15.75" customHeight="1">
      <c r="A184" s="3"/>
      <c r="B184" s="3"/>
      <c r="C184" s="3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6"/>
      <c r="AJ184" s="7"/>
      <c r="AK184" s="8"/>
      <c r="AL184" s="7"/>
      <c r="AM184" s="4"/>
      <c r="AN184" s="7"/>
      <c r="AO184" s="7"/>
      <c r="AP184" s="7"/>
      <c r="AQ184" s="4"/>
      <c r="AR184" s="7"/>
      <c r="AS184" s="4"/>
      <c r="AT184" s="7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</row>
    <row r="185" spans="1:63" ht="15.75" customHeight="1">
      <c r="A185" s="3"/>
      <c r="B185" s="3"/>
      <c r="C185" s="3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6"/>
      <c r="AJ185" s="7"/>
      <c r="AK185" s="8"/>
      <c r="AL185" s="7"/>
      <c r="AM185" s="4"/>
      <c r="AN185" s="7"/>
      <c r="AO185" s="7"/>
      <c r="AP185" s="7"/>
      <c r="AQ185" s="4"/>
      <c r="AR185" s="7"/>
      <c r="AS185" s="4"/>
      <c r="AT185" s="7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</row>
    <row r="186" spans="1:63" ht="15.75" customHeight="1">
      <c r="A186" s="3"/>
      <c r="B186" s="3"/>
      <c r="C186" s="3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6"/>
      <c r="AJ186" s="7"/>
      <c r="AK186" s="8"/>
      <c r="AL186" s="7"/>
      <c r="AM186" s="4"/>
      <c r="AN186" s="7"/>
      <c r="AO186" s="7"/>
      <c r="AP186" s="7"/>
      <c r="AQ186" s="4"/>
      <c r="AR186" s="7"/>
      <c r="AS186" s="4"/>
      <c r="AT186" s="7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</row>
    <row r="187" spans="1:63" ht="15.75" customHeight="1">
      <c r="A187" s="3"/>
      <c r="B187" s="3"/>
      <c r="C187" s="3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6"/>
      <c r="AJ187" s="7"/>
      <c r="AK187" s="8"/>
      <c r="AL187" s="7"/>
      <c r="AM187" s="4"/>
      <c r="AN187" s="7"/>
      <c r="AO187" s="7"/>
      <c r="AP187" s="7"/>
      <c r="AQ187" s="4"/>
      <c r="AR187" s="7"/>
      <c r="AS187" s="4"/>
      <c r="AT187" s="7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</row>
    <row r="188" spans="1:63" ht="15.75" customHeight="1">
      <c r="A188" s="3"/>
      <c r="B188" s="3"/>
      <c r="C188" s="3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6"/>
      <c r="AJ188" s="7"/>
      <c r="AK188" s="8"/>
      <c r="AL188" s="7"/>
      <c r="AM188" s="4"/>
      <c r="AN188" s="7"/>
      <c r="AO188" s="7"/>
      <c r="AP188" s="7"/>
      <c r="AQ188" s="4"/>
      <c r="AR188" s="7"/>
      <c r="AS188" s="4"/>
      <c r="AT188" s="7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</row>
    <row r="189" spans="1:63" ht="15.75" customHeight="1">
      <c r="A189" s="3"/>
      <c r="B189" s="3"/>
      <c r="C189" s="3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6"/>
      <c r="AJ189" s="7"/>
      <c r="AK189" s="8"/>
      <c r="AL189" s="7"/>
      <c r="AM189" s="4"/>
      <c r="AN189" s="7"/>
      <c r="AO189" s="7"/>
      <c r="AP189" s="7"/>
      <c r="AQ189" s="4"/>
      <c r="AR189" s="7"/>
      <c r="AS189" s="4"/>
      <c r="AT189" s="7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</row>
    <row r="190" spans="1:63" ht="15.75" customHeight="1">
      <c r="A190" s="3"/>
      <c r="B190" s="3"/>
      <c r="C190" s="3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6"/>
      <c r="AJ190" s="7"/>
      <c r="AK190" s="8"/>
      <c r="AL190" s="7"/>
      <c r="AM190" s="4"/>
      <c r="AN190" s="7"/>
      <c r="AO190" s="7"/>
      <c r="AP190" s="7"/>
      <c r="AQ190" s="4"/>
      <c r="AR190" s="7"/>
      <c r="AS190" s="4"/>
      <c r="AT190" s="7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</row>
    <row r="191" spans="1:63" ht="15.75" customHeight="1">
      <c r="A191" s="3"/>
      <c r="B191" s="3"/>
      <c r="C191" s="3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6"/>
      <c r="AJ191" s="7"/>
      <c r="AK191" s="8"/>
      <c r="AL191" s="7"/>
      <c r="AM191" s="4"/>
      <c r="AN191" s="7"/>
      <c r="AO191" s="7"/>
      <c r="AP191" s="7"/>
      <c r="AQ191" s="4"/>
      <c r="AR191" s="7"/>
      <c r="AS191" s="4"/>
      <c r="AT191" s="7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</row>
    <row r="192" spans="1:63" ht="15.75" customHeight="1">
      <c r="A192" s="3"/>
      <c r="B192" s="3"/>
      <c r="C192" s="3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6"/>
      <c r="AJ192" s="7"/>
      <c r="AK192" s="8"/>
      <c r="AL192" s="7"/>
      <c r="AM192" s="4"/>
      <c r="AN192" s="7"/>
      <c r="AO192" s="7"/>
      <c r="AP192" s="7"/>
      <c r="AQ192" s="4"/>
      <c r="AR192" s="7"/>
      <c r="AS192" s="4"/>
      <c r="AT192" s="7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</row>
    <row r="193" spans="1:63" ht="15.75" customHeight="1">
      <c r="A193" s="3"/>
      <c r="B193" s="3"/>
      <c r="C193" s="3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6"/>
      <c r="AJ193" s="7"/>
      <c r="AK193" s="8"/>
      <c r="AL193" s="7"/>
      <c r="AM193" s="4"/>
      <c r="AN193" s="7"/>
      <c r="AO193" s="7"/>
      <c r="AP193" s="7"/>
      <c r="AQ193" s="4"/>
      <c r="AR193" s="7"/>
      <c r="AS193" s="4"/>
      <c r="AT193" s="7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</row>
    <row r="194" spans="1:63" ht="15.75" customHeight="1">
      <c r="A194" s="3"/>
      <c r="B194" s="3"/>
      <c r="C194" s="3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6"/>
      <c r="AJ194" s="7"/>
      <c r="AK194" s="8"/>
      <c r="AL194" s="7"/>
      <c r="AM194" s="4"/>
      <c r="AN194" s="7"/>
      <c r="AO194" s="7"/>
      <c r="AP194" s="7"/>
      <c r="AQ194" s="4"/>
      <c r="AR194" s="7"/>
      <c r="AS194" s="4"/>
      <c r="AT194" s="7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</row>
    <row r="195" spans="1:63" ht="15.75" customHeight="1">
      <c r="A195" s="3"/>
      <c r="B195" s="3"/>
      <c r="C195" s="3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6"/>
      <c r="AJ195" s="7"/>
      <c r="AK195" s="8"/>
      <c r="AL195" s="7"/>
      <c r="AM195" s="4"/>
      <c r="AN195" s="7"/>
      <c r="AO195" s="7"/>
      <c r="AP195" s="7"/>
      <c r="AQ195" s="4"/>
      <c r="AR195" s="7"/>
      <c r="AS195" s="4"/>
      <c r="AT195" s="7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</row>
    <row r="196" spans="1:63" ht="15.75" customHeight="1">
      <c r="A196" s="3"/>
      <c r="B196" s="3"/>
      <c r="C196" s="3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6"/>
      <c r="AJ196" s="7"/>
      <c r="AK196" s="8"/>
      <c r="AL196" s="7"/>
      <c r="AM196" s="4"/>
      <c r="AN196" s="7"/>
      <c r="AO196" s="7"/>
      <c r="AP196" s="7"/>
      <c r="AQ196" s="4"/>
      <c r="AR196" s="7"/>
      <c r="AS196" s="4"/>
      <c r="AT196" s="7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</row>
    <row r="197" spans="1:63" ht="15.75" customHeight="1">
      <c r="A197" s="3"/>
      <c r="B197" s="3"/>
      <c r="C197" s="3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6"/>
      <c r="AJ197" s="7"/>
      <c r="AK197" s="8"/>
      <c r="AL197" s="7"/>
      <c r="AM197" s="4"/>
      <c r="AN197" s="7"/>
      <c r="AO197" s="7"/>
      <c r="AP197" s="7"/>
      <c r="AQ197" s="4"/>
      <c r="AR197" s="7"/>
      <c r="AS197" s="4"/>
      <c r="AT197" s="7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</row>
    <row r="198" spans="1:63" ht="15.75" customHeight="1">
      <c r="A198" s="3"/>
      <c r="B198" s="3"/>
      <c r="C198" s="3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6"/>
      <c r="AJ198" s="7"/>
      <c r="AK198" s="8"/>
      <c r="AL198" s="7"/>
      <c r="AM198" s="4"/>
      <c r="AN198" s="7"/>
      <c r="AO198" s="7"/>
      <c r="AP198" s="7"/>
      <c r="AQ198" s="4"/>
      <c r="AR198" s="7"/>
      <c r="AS198" s="4"/>
      <c r="AT198" s="7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</row>
    <row r="199" spans="1:63" ht="15.75" customHeight="1">
      <c r="A199" s="3"/>
      <c r="B199" s="3"/>
      <c r="C199" s="3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6"/>
      <c r="AJ199" s="7"/>
      <c r="AK199" s="8"/>
      <c r="AL199" s="7"/>
      <c r="AM199" s="4"/>
      <c r="AN199" s="7"/>
      <c r="AO199" s="7"/>
      <c r="AP199" s="7"/>
      <c r="AQ199" s="4"/>
      <c r="AR199" s="7"/>
      <c r="AS199" s="4"/>
      <c r="AT199" s="7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</row>
    <row r="200" spans="1:63" ht="15.75" customHeight="1">
      <c r="A200" s="3"/>
      <c r="B200" s="3"/>
      <c r="C200" s="3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6"/>
      <c r="AJ200" s="7"/>
      <c r="AK200" s="8"/>
      <c r="AL200" s="7"/>
      <c r="AM200" s="4"/>
      <c r="AN200" s="7"/>
      <c r="AO200" s="7"/>
      <c r="AP200" s="7"/>
      <c r="AQ200" s="4"/>
      <c r="AR200" s="7"/>
      <c r="AS200" s="4"/>
      <c r="AT200" s="7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</row>
    <row r="201" spans="1:63" ht="15.75" customHeight="1">
      <c r="A201" s="3"/>
      <c r="B201" s="3"/>
      <c r="C201" s="3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6"/>
      <c r="AJ201" s="7"/>
      <c r="AK201" s="8"/>
      <c r="AL201" s="7"/>
      <c r="AM201" s="4"/>
      <c r="AN201" s="7"/>
      <c r="AO201" s="7"/>
      <c r="AP201" s="7"/>
      <c r="AQ201" s="4"/>
      <c r="AR201" s="7"/>
      <c r="AS201" s="4"/>
      <c r="AT201" s="7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</row>
    <row r="202" spans="1:63" ht="15.75" customHeight="1">
      <c r="A202" s="3"/>
      <c r="B202" s="3"/>
      <c r="C202" s="3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6"/>
      <c r="AJ202" s="7"/>
      <c r="AK202" s="8"/>
      <c r="AL202" s="7"/>
      <c r="AM202" s="4"/>
      <c r="AN202" s="7"/>
      <c r="AO202" s="7"/>
      <c r="AP202" s="7"/>
      <c r="AQ202" s="4"/>
      <c r="AR202" s="7"/>
      <c r="AS202" s="4"/>
      <c r="AT202" s="7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</row>
    <row r="203" spans="1:63" ht="15.75" customHeight="1">
      <c r="A203" s="3"/>
      <c r="B203" s="3"/>
      <c r="C203" s="3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6"/>
      <c r="AJ203" s="7"/>
      <c r="AK203" s="8"/>
      <c r="AL203" s="7"/>
      <c r="AM203" s="4"/>
      <c r="AN203" s="7"/>
      <c r="AO203" s="7"/>
      <c r="AP203" s="7"/>
      <c r="AQ203" s="4"/>
      <c r="AR203" s="7"/>
      <c r="AS203" s="4"/>
      <c r="AT203" s="7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</row>
    <row r="204" spans="1:63" ht="15.75" customHeight="1">
      <c r="A204" s="3"/>
      <c r="B204" s="3"/>
      <c r="C204" s="3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6"/>
      <c r="AJ204" s="7"/>
      <c r="AK204" s="8"/>
      <c r="AL204" s="7"/>
      <c r="AM204" s="4"/>
      <c r="AN204" s="7"/>
      <c r="AO204" s="7"/>
      <c r="AP204" s="7"/>
      <c r="AQ204" s="4"/>
      <c r="AR204" s="7"/>
      <c r="AS204" s="4"/>
      <c r="AT204" s="7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</row>
    <row r="205" spans="1:63" ht="15.75" customHeight="1">
      <c r="A205" s="3"/>
      <c r="B205" s="3"/>
      <c r="C205" s="3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6"/>
      <c r="AJ205" s="7"/>
      <c r="AK205" s="8"/>
      <c r="AL205" s="7"/>
      <c r="AM205" s="4"/>
      <c r="AN205" s="7"/>
      <c r="AO205" s="7"/>
      <c r="AP205" s="7"/>
      <c r="AQ205" s="4"/>
      <c r="AR205" s="7"/>
      <c r="AS205" s="4"/>
      <c r="AT205" s="7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</row>
    <row r="206" spans="1:63" ht="15.75" customHeight="1">
      <c r="A206" s="3"/>
      <c r="B206" s="3"/>
      <c r="C206" s="3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6"/>
      <c r="AJ206" s="7"/>
      <c r="AK206" s="8"/>
      <c r="AL206" s="7"/>
      <c r="AM206" s="4"/>
      <c r="AN206" s="7"/>
      <c r="AO206" s="7"/>
      <c r="AP206" s="7"/>
      <c r="AQ206" s="4"/>
      <c r="AR206" s="7"/>
      <c r="AS206" s="4"/>
      <c r="AT206" s="7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</row>
    <row r="207" spans="1:63" ht="15.75" customHeight="1">
      <c r="A207" s="3"/>
      <c r="B207" s="3"/>
      <c r="C207" s="3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6"/>
      <c r="AJ207" s="7"/>
      <c r="AK207" s="8"/>
      <c r="AL207" s="7"/>
      <c r="AM207" s="4"/>
      <c r="AN207" s="7"/>
      <c r="AO207" s="7"/>
      <c r="AP207" s="7"/>
      <c r="AQ207" s="4"/>
      <c r="AR207" s="7"/>
      <c r="AS207" s="4"/>
      <c r="AT207" s="7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</row>
    <row r="208" spans="1:63" ht="15.75" customHeight="1">
      <c r="A208" s="3"/>
      <c r="B208" s="3"/>
      <c r="C208" s="3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6"/>
      <c r="AJ208" s="7"/>
      <c r="AK208" s="8"/>
      <c r="AL208" s="7"/>
      <c r="AM208" s="4"/>
      <c r="AN208" s="7"/>
      <c r="AO208" s="7"/>
      <c r="AP208" s="7"/>
      <c r="AQ208" s="4"/>
      <c r="AR208" s="7"/>
      <c r="AS208" s="4"/>
      <c r="AT208" s="7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</row>
    <row r="209" spans="1:63" ht="15.75" customHeight="1">
      <c r="A209" s="3"/>
      <c r="B209" s="3"/>
      <c r="C209" s="3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6"/>
      <c r="AJ209" s="7"/>
      <c r="AK209" s="8"/>
      <c r="AL209" s="7"/>
      <c r="AM209" s="4"/>
      <c r="AN209" s="7"/>
      <c r="AO209" s="7"/>
      <c r="AP209" s="7"/>
      <c r="AQ209" s="4"/>
      <c r="AR209" s="7"/>
      <c r="AS209" s="4"/>
      <c r="AT209" s="7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</row>
    <row r="210" spans="1:63" ht="15.75" customHeight="1">
      <c r="A210" s="3"/>
      <c r="B210" s="3"/>
      <c r="C210" s="3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6"/>
      <c r="AJ210" s="7"/>
      <c r="AK210" s="8"/>
      <c r="AL210" s="7"/>
      <c r="AM210" s="4"/>
      <c r="AN210" s="7"/>
      <c r="AO210" s="7"/>
      <c r="AP210" s="7"/>
      <c r="AQ210" s="4"/>
      <c r="AR210" s="7"/>
      <c r="AS210" s="4"/>
      <c r="AT210" s="7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</row>
    <row r="211" spans="1:63" ht="15.75" customHeight="1">
      <c r="A211" s="3"/>
      <c r="B211" s="3"/>
      <c r="C211" s="3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6"/>
      <c r="AJ211" s="7"/>
      <c r="AK211" s="8"/>
      <c r="AL211" s="7"/>
      <c r="AM211" s="4"/>
      <c r="AN211" s="7"/>
      <c r="AO211" s="7"/>
      <c r="AP211" s="7"/>
      <c r="AQ211" s="4"/>
      <c r="AR211" s="7"/>
      <c r="AS211" s="4"/>
      <c r="AT211" s="7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</row>
    <row r="212" spans="1:63" ht="15.75" customHeight="1">
      <c r="A212" s="3"/>
      <c r="B212" s="3"/>
      <c r="C212" s="3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6"/>
      <c r="AJ212" s="7"/>
      <c r="AK212" s="8"/>
      <c r="AL212" s="7"/>
      <c r="AM212" s="4"/>
      <c r="AN212" s="7"/>
      <c r="AO212" s="7"/>
      <c r="AP212" s="7"/>
      <c r="AQ212" s="4"/>
      <c r="AR212" s="7"/>
      <c r="AS212" s="4"/>
      <c r="AT212" s="7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</row>
    <row r="213" spans="1:63" ht="15.75" customHeight="1">
      <c r="A213" s="3"/>
      <c r="B213" s="3"/>
      <c r="C213" s="3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6"/>
      <c r="AJ213" s="7"/>
      <c r="AK213" s="8"/>
      <c r="AL213" s="7"/>
      <c r="AM213" s="4"/>
      <c r="AN213" s="7"/>
      <c r="AO213" s="7"/>
      <c r="AP213" s="7"/>
      <c r="AQ213" s="4"/>
      <c r="AR213" s="7"/>
      <c r="AS213" s="4"/>
      <c r="AT213" s="7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</row>
    <row r="214" spans="1:63" ht="15.75" customHeight="1">
      <c r="A214" s="3"/>
      <c r="B214" s="3"/>
      <c r="C214" s="3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6"/>
      <c r="AJ214" s="7"/>
      <c r="AK214" s="8"/>
      <c r="AL214" s="7"/>
      <c r="AM214" s="4"/>
      <c r="AN214" s="7"/>
      <c r="AO214" s="7"/>
      <c r="AP214" s="7"/>
      <c r="AQ214" s="4"/>
      <c r="AR214" s="7"/>
      <c r="AS214" s="4"/>
      <c r="AT214" s="7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</row>
    <row r="215" spans="1:63" ht="15.75" customHeight="1">
      <c r="A215" s="3"/>
      <c r="B215" s="3"/>
      <c r="C215" s="3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6"/>
      <c r="AJ215" s="7"/>
      <c r="AK215" s="8"/>
      <c r="AL215" s="7"/>
      <c r="AM215" s="4"/>
      <c r="AN215" s="7"/>
      <c r="AO215" s="7"/>
      <c r="AP215" s="7"/>
      <c r="AQ215" s="4"/>
      <c r="AR215" s="7"/>
      <c r="AS215" s="4"/>
      <c r="AT215" s="7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</row>
    <row r="216" spans="1:63" ht="15.75" customHeight="1">
      <c r="A216" s="3"/>
      <c r="B216" s="3"/>
      <c r="C216" s="3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6"/>
      <c r="AJ216" s="7"/>
      <c r="AK216" s="8"/>
      <c r="AL216" s="7"/>
      <c r="AM216" s="4"/>
      <c r="AN216" s="7"/>
      <c r="AO216" s="7"/>
      <c r="AP216" s="7"/>
      <c r="AQ216" s="4"/>
      <c r="AR216" s="7"/>
      <c r="AS216" s="4"/>
      <c r="AT216" s="7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</row>
    <row r="217" spans="1:63" ht="15.75" customHeight="1">
      <c r="A217" s="3"/>
      <c r="B217" s="3"/>
      <c r="C217" s="3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6"/>
      <c r="AJ217" s="7"/>
      <c r="AK217" s="8"/>
      <c r="AL217" s="7"/>
      <c r="AM217" s="4"/>
      <c r="AN217" s="7"/>
      <c r="AO217" s="7"/>
      <c r="AP217" s="7"/>
      <c r="AQ217" s="4"/>
      <c r="AR217" s="7"/>
      <c r="AS217" s="4"/>
      <c r="AT217" s="7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</row>
    <row r="218" spans="1:63" ht="15.75" customHeight="1">
      <c r="A218" s="3"/>
      <c r="B218" s="3"/>
      <c r="C218" s="3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6"/>
      <c r="AJ218" s="7"/>
      <c r="AK218" s="8"/>
      <c r="AL218" s="7"/>
      <c r="AM218" s="4"/>
      <c r="AN218" s="7"/>
      <c r="AO218" s="7"/>
      <c r="AP218" s="7"/>
      <c r="AQ218" s="4"/>
      <c r="AR218" s="7"/>
      <c r="AS218" s="4"/>
      <c r="AT218" s="7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</row>
    <row r="219" spans="1:63" ht="15.75" customHeight="1">
      <c r="A219" s="3"/>
      <c r="B219" s="3"/>
      <c r="C219" s="3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6"/>
      <c r="AJ219" s="7"/>
      <c r="AK219" s="8"/>
      <c r="AL219" s="7"/>
      <c r="AM219" s="4"/>
      <c r="AN219" s="7"/>
      <c r="AO219" s="7"/>
      <c r="AP219" s="7"/>
      <c r="AQ219" s="4"/>
      <c r="AR219" s="7"/>
      <c r="AS219" s="4"/>
      <c r="AT219" s="7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</row>
    <row r="220" spans="1:63" ht="15.75" customHeight="1">
      <c r="A220" s="3"/>
      <c r="B220" s="3"/>
      <c r="C220" s="3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6"/>
      <c r="AJ220" s="7"/>
      <c r="AK220" s="8"/>
      <c r="AL220" s="7"/>
      <c r="AM220" s="4"/>
      <c r="AN220" s="7"/>
      <c r="AO220" s="7"/>
      <c r="AP220" s="7"/>
      <c r="AQ220" s="4"/>
      <c r="AR220" s="7"/>
      <c r="AS220" s="4"/>
      <c r="AT220" s="7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</row>
    <row r="221" spans="1:63" ht="15.75" customHeight="1">
      <c r="A221" s="3"/>
      <c r="B221" s="3"/>
      <c r="C221" s="3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6"/>
      <c r="AJ221" s="7"/>
      <c r="AK221" s="8"/>
      <c r="AL221" s="7"/>
      <c r="AM221" s="4"/>
      <c r="AN221" s="7"/>
      <c r="AO221" s="7"/>
      <c r="AP221" s="7"/>
      <c r="AQ221" s="4"/>
      <c r="AR221" s="7"/>
      <c r="AS221" s="4"/>
      <c r="AT221" s="7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</row>
    <row r="222" spans="1:63" ht="15.75" customHeight="1">
      <c r="A222" s="3"/>
      <c r="B222" s="3"/>
      <c r="C222" s="3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6"/>
      <c r="AJ222" s="7"/>
      <c r="AK222" s="8"/>
      <c r="AL222" s="7"/>
      <c r="AM222" s="4"/>
      <c r="AN222" s="7"/>
      <c r="AO222" s="7"/>
      <c r="AP222" s="7"/>
      <c r="AQ222" s="4"/>
      <c r="AR222" s="7"/>
      <c r="AS222" s="4"/>
      <c r="AT222" s="7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</row>
    <row r="223" spans="1:63" ht="15.75" customHeight="1">
      <c r="A223" s="3"/>
      <c r="B223" s="3"/>
      <c r="C223" s="3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6"/>
      <c r="AJ223" s="7"/>
      <c r="AK223" s="8"/>
      <c r="AL223" s="7"/>
      <c r="AM223" s="4"/>
      <c r="AN223" s="7"/>
      <c r="AO223" s="7"/>
      <c r="AP223" s="7"/>
      <c r="AQ223" s="4"/>
      <c r="AR223" s="7"/>
      <c r="AS223" s="4"/>
      <c r="AT223" s="7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</row>
    <row r="224" spans="1:63" ht="15.75" customHeight="1">
      <c r="A224" s="3"/>
      <c r="B224" s="3"/>
      <c r="C224" s="3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6"/>
      <c r="AJ224" s="7"/>
      <c r="AK224" s="8"/>
      <c r="AL224" s="7"/>
      <c r="AM224" s="4"/>
      <c r="AN224" s="7"/>
      <c r="AO224" s="7"/>
      <c r="AP224" s="7"/>
      <c r="AQ224" s="4"/>
      <c r="AR224" s="7"/>
      <c r="AS224" s="4"/>
      <c r="AT224" s="7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</row>
    <row r="225" spans="1:63" ht="15.75" customHeight="1">
      <c r="A225" s="3"/>
      <c r="B225" s="3"/>
      <c r="C225" s="3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6"/>
      <c r="AJ225" s="7"/>
      <c r="AK225" s="8"/>
      <c r="AL225" s="7"/>
      <c r="AM225" s="4"/>
      <c r="AN225" s="7"/>
      <c r="AO225" s="7"/>
      <c r="AP225" s="7"/>
      <c r="AQ225" s="4"/>
      <c r="AR225" s="7"/>
      <c r="AS225" s="4"/>
      <c r="AT225" s="7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</row>
    <row r="226" spans="1:63" ht="15.75" customHeight="1">
      <c r="A226" s="3"/>
      <c r="B226" s="3"/>
      <c r="C226" s="3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6"/>
      <c r="AJ226" s="7"/>
      <c r="AK226" s="8"/>
      <c r="AL226" s="7"/>
      <c r="AM226" s="4"/>
      <c r="AN226" s="7"/>
      <c r="AO226" s="7"/>
      <c r="AP226" s="7"/>
      <c r="AQ226" s="4"/>
      <c r="AR226" s="7"/>
      <c r="AS226" s="4"/>
      <c r="AT226" s="7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</row>
    <row r="227" spans="1:63" ht="15.75" customHeight="1">
      <c r="A227" s="3"/>
      <c r="B227" s="3"/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6"/>
      <c r="AJ227" s="7"/>
      <c r="AK227" s="8"/>
      <c r="AL227" s="7"/>
      <c r="AM227" s="4"/>
      <c r="AN227" s="7"/>
      <c r="AO227" s="7"/>
      <c r="AP227" s="7"/>
      <c r="AQ227" s="4"/>
      <c r="AR227" s="7"/>
      <c r="AS227" s="4"/>
      <c r="AT227" s="7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</row>
    <row r="228" spans="1:63" ht="15.75" customHeight="1">
      <c r="A228" s="3"/>
      <c r="B228" s="3"/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6"/>
      <c r="AJ228" s="7"/>
      <c r="AK228" s="8"/>
      <c r="AL228" s="7"/>
      <c r="AM228" s="4"/>
      <c r="AN228" s="7"/>
      <c r="AO228" s="7"/>
      <c r="AP228" s="7"/>
      <c r="AQ228" s="4"/>
      <c r="AR228" s="7"/>
      <c r="AS228" s="4"/>
      <c r="AT228" s="7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</row>
    <row r="229" spans="1:63" ht="15.75" customHeight="1">
      <c r="A229" s="3"/>
      <c r="B229" s="3"/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6"/>
      <c r="AJ229" s="7"/>
      <c r="AK229" s="8"/>
      <c r="AL229" s="7"/>
      <c r="AM229" s="4"/>
      <c r="AN229" s="7"/>
      <c r="AO229" s="7"/>
      <c r="AP229" s="7"/>
      <c r="AQ229" s="4"/>
      <c r="AR229" s="7"/>
      <c r="AS229" s="4"/>
      <c r="AT229" s="7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</row>
    <row r="230" spans="1:63" ht="15.75" customHeight="1">
      <c r="A230" s="3"/>
      <c r="B230" s="3"/>
      <c r="C230" s="3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6"/>
      <c r="AJ230" s="7"/>
      <c r="AK230" s="8"/>
      <c r="AL230" s="7"/>
      <c r="AM230" s="4"/>
      <c r="AN230" s="7"/>
      <c r="AO230" s="7"/>
      <c r="AP230" s="7"/>
      <c r="AQ230" s="4"/>
      <c r="AR230" s="7"/>
      <c r="AS230" s="4"/>
      <c r="AT230" s="7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</row>
    <row r="231" spans="1:63" ht="15.75" customHeight="1">
      <c r="A231" s="3"/>
      <c r="B231" s="3"/>
      <c r="C231" s="3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6"/>
      <c r="AJ231" s="7"/>
      <c r="AK231" s="8"/>
      <c r="AL231" s="7"/>
      <c r="AM231" s="4"/>
      <c r="AN231" s="7"/>
      <c r="AO231" s="7"/>
      <c r="AP231" s="7"/>
      <c r="AQ231" s="4"/>
      <c r="AR231" s="7"/>
      <c r="AS231" s="4"/>
      <c r="AT231" s="7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</row>
    <row r="232" spans="1:63" ht="15.75" customHeight="1">
      <c r="A232" s="3"/>
      <c r="B232" s="3"/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6"/>
      <c r="AJ232" s="7"/>
      <c r="AK232" s="8"/>
      <c r="AL232" s="7"/>
      <c r="AM232" s="4"/>
      <c r="AN232" s="7"/>
      <c r="AO232" s="7"/>
      <c r="AP232" s="7"/>
      <c r="AQ232" s="4"/>
      <c r="AR232" s="7"/>
      <c r="AS232" s="4"/>
      <c r="AT232" s="7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</row>
    <row r="233" spans="1:63" ht="15.75" customHeight="1">
      <c r="A233" s="3"/>
      <c r="B233" s="3"/>
      <c r="C233" s="3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6"/>
      <c r="AJ233" s="7"/>
      <c r="AK233" s="8"/>
      <c r="AL233" s="7"/>
      <c r="AM233" s="4"/>
      <c r="AN233" s="7"/>
      <c r="AO233" s="7"/>
      <c r="AP233" s="7"/>
      <c r="AQ233" s="4"/>
      <c r="AR233" s="7"/>
      <c r="AS233" s="4"/>
      <c r="AT233" s="7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</row>
    <row r="234" spans="1:63" ht="15.75" customHeight="1">
      <c r="A234" s="3"/>
      <c r="B234" s="3"/>
      <c r="C234" s="3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6"/>
      <c r="AJ234" s="7"/>
      <c r="AK234" s="8"/>
      <c r="AL234" s="7"/>
      <c r="AM234" s="4"/>
      <c r="AN234" s="7"/>
      <c r="AO234" s="7"/>
      <c r="AP234" s="7"/>
      <c r="AQ234" s="4"/>
      <c r="AR234" s="7"/>
      <c r="AS234" s="4"/>
      <c r="AT234" s="7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</row>
    <row r="235" spans="1:63" ht="15.75" customHeight="1">
      <c r="A235" s="3"/>
      <c r="B235" s="3"/>
      <c r="C235" s="3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6"/>
      <c r="AJ235" s="7"/>
      <c r="AK235" s="8"/>
      <c r="AL235" s="7"/>
      <c r="AM235" s="4"/>
      <c r="AN235" s="7"/>
      <c r="AO235" s="7"/>
      <c r="AP235" s="7"/>
      <c r="AQ235" s="4"/>
      <c r="AR235" s="7"/>
      <c r="AS235" s="4"/>
      <c r="AT235" s="7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</row>
    <row r="236" spans="1:63" ht="15.75" customHeight="1">
      <c r="A236" s="3"/>
      <c r="B236" s="3"/>
      <c r="C236" s="3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6"/>
      <c r="AJ236" s="7"/>
      <c r="AK236" s="8"/>
      <c r="AL236" s="7"/>
      <c r="AM236" s="4"/>
      <c r="AN236" s="7"/>
      <c r="AO236" s="7"/>
      <c r="AP236" s="7"/>
      <c r="AQ236" s="4"/>
      <c r="AR236" s="7"/>
      <c r="AS236" s="4"/>
      <c r="AT236" s="7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</row>
    <row r="237" spans="1:63" ht="15.75" customHeight="1">
      <c r="A237" s="3"/>
      <c r="B237" s="3"/>
      <c r="C237" s="3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6"/>
      <c r="AJ237" s="7"/>
      <c r="AK237" s="8"/>
      <c r="AL237" s="7"/>
      <c r="AM237" s="4"/>
      <c r="AN237" s="7"/>
      <c r="AO237" s="7"/>
      <c r="AP237" s="7"/>
      <c r="AQ237" s="4"/>
      <c r="AR237" s="7"/>
      <c r="AS237" s="4"/>
      <c r="AT237" s="7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</row>
    <row r="238" spans="1:63" ht="15.75" customHeight="1">
      <c r="A238" s="3"/>
      <c r="B238" s="3"/>
      <c r="C238" s="3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6"/>
      <c r="AJ238" s="7"/>
      <c r="AK238" s="8"/>
      <c r="AL238" s="7"/>
      <c r="AM238" s="4"/>
      <c r="AN238" s="7"/>
      <c r="AO238" s="7"/>
      <c r="AP238" s="7"/>
      <c r="AQ238" s="4"/>
      <c r="AR238" s="7"/>
      <c r="AS238" s="4"/>
      <c r="AT238" s="7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</row>
    <row r="239" spans="1:63" ht="15.75" customHeight="1">
      <c r="A239" s="3"/>
      <c r="B239" s="3"/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6"/>
      <c r="AJ239" s="7"/>
      <c r="AK239" s="8"/>
      <c r="AL239" s="7"/>
      <c r="AM239" s="4"/>
      <c r="AN239" s="7"/>
      <c r="AO239" s="7"/>
      <c r="AP239" s="7"/>
      <c r="AQ239" s="4"/>
      <c r="AR239" s="7"/>
      <c r="AS239" s="4"/>
      <c r="AT239" s="7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</row>
    <row r="240" spans="1:63" ht="15.75" customHeight="1">
      <c r="A240" s="3"/>
      <c r="B240" s="3"/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6"/>
      <c r="AJ240" s="7"/>
      <c r="AK240" s="8"/>
      <c r="AL240" s="7"/>
      <c r="AM240" s="4"/>
      <c r="AN240" s="7"/>
      <c r="AO240" s="7"/>
      <c r="AP240" s="7"/>
      <c r="AQ240" s="4"/>
      <c r="AR240" s="7"/>
      <c r="AS240" s="4"/>
      <c r="AT240" s="7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</row>
    <row r="241" spans="1:63" ht="15.75" customHeight="1">
      <c r="A241" s="3"/>
      <c r="B241" s="3"/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6"/>
      <c r="AJ241" s="7"/>
      <c r="AK241" s="8"/>
      <c r="AL241" s="7"/>
      <c r="AM241" s="4"/>
      <c r="AN241" s="7"/>
      <c r="AO241" s="7"/>
      <c r="AP241" s="7"/>
      <c r="AQ241" s="4"/>
      <c r="AR241" s="7"/>
      <c r="AS241" s="4"/>
      <c r="AT241" s="7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</row>
    <row r="242" spans="1:63" ht="15.75" customHeight="1">
      <c r="A242" s="3"/>
      <c r="B242" s="3"/>
      <c r="C242" s="3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6"/>
      <c r="AJ242" s="7"/>
      <c r="AK242" s="8"/>
      <c r="AL242" s="7"/>
      <c r="AM242" s="4"/>
      <c r="AN242" s="7"/>
      <c r="AO242" s="7"/>
      <c r="AP242" s="7"/>
      <c r="AQ242" s="4"/>
      <c r="AR242" s="7"/>
      <c r="AS242" s="4"/>
      <c r="AT242" s="7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</row>
    <row r="243" spans="1:63" ht="15.75" customHeight="1">
      <c r="A243" s="3"/>
      <c r="B243" s="3"/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6"/>
      <c r="AJ243" s="7"/>
      <c r="AK243" s="8"/>
      <c r="AL243" s="7"/>
      <c r="AM243" s="4"/>
      <c r="AN243" s="7"/>
      <c r="AO243" s="7"/>
      <c r="AP243" s="7"/>
      <c r="AQ243" s="4"/>
      <c r="AR243" s="7"/>
      <c r="AS243" s="4"/>
      <c r="AT243" s="7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</row>
    <row r="244" spans="1:63" ht="15.75" customHeight="1">
      <c r="A244" s="3"/>
      <c r="B244" s="3"/>
      <c r="C244" s="3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6"/>
      <c r="AJ244" s="7"/>
      <c r="AK244" s="8"/>
      <c r="AL244" s="7"/>
      <c r="AM244" s="4"/>
      <c r="AN244" s="7"/>
      <c r="AO244" s="7"/>
      <c r="AP244" s="7"/>
      <c r="AQ244" s="4"/>
      <c r="AR244" s="7"/>
      <c r="AS244" s="4"/>
      <c r="AT244" s="7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</row>
    <row r="245" spans="1:63" ht="15.75" customHeight="1">
      <c r="A245" s="3"/>
      <c r="B245" s="3"/>
      <c r="C245" s="3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6"/>
      <c r="AJ245" s="7"/>
      <c r="AK245" s="8"/>
      <c r="AL245" s="7"/>
      <c r="AM245" s="4"/>
      <c r="AN245" s="7"/>
      <c r="AO245" s="7"/>
      <c r="AP245" s="7"/>
      <c r="AQ245" s="4"/>
      <c r="AR245" s="7"/>
      <c r="AS245" s="4"/>
      <c r="AT245" s="7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</row>
    <row r="246" spans="1:63" ht="15.75" customHeight="1">
      <c r="A246" s="3"/>
      <c r="B246" s="3"/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6"/>
      <c r="AJ246" s="7"/>
      <c r="AK246" s="8"/>
      <c r="AL246" s="7"/>
      <c r="AM246" s="4"/>
      <c r="AN246" s="7"/>
      <c r="AO246" s="7"/>
      <c r="AP246" s="7"/>
      <c r="AQ246" s="4"/>
      <c r="AR246" s="7"/>
      <c r="AS246" s="4"/>
      <c r="AT246" s="7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</row>
    <row r="247" spans="1:63" ht="15.75" customHeight="1">
      <c r="A247" s="3"/>
      <c r="B247" s="3"/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6"/>
      <c r="AJ247" s="7"/>
      <c r="AK247" s="8"/>
      <c r="AL247" s="7"/>
      <c r="AM247" s="4"/>
      <c r="AN247" s="7"/>
      <c r="AO247" s="7"/>
      <c r="AP247" s="7"/>
      <c r="AQ247" s="4"/>
      <c r="AR247" s="7"/>
      <c r="AS247" s="4"/>
      <c r="AT247" s="7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</row>
    <row r="248" spans="1:63" ht="15.75" customHeight="1">
      <c r="A248" s="3"/>
      <c r="B248" s="3"/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6"/>
      <c r="AJ248" s="7"/>
      <c r="AK248" s="8"/>
      <c r="AL248" s="7"/>
      <c r="AM248" s="4"/>
      <c r="AN248" s="7"/>
      <c r="AO248" s="7"/>
      <c r="AP248" s="7"/>
      <c r="AQ248" s="4"/>
      <c r="AR248" s="7"/>
      <c r="AS248" s="4"/>
      <c r="AT248" s="7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</row>
    <row r="249" spans="1:63" ht="15.75" customHeight="1">
      <c r="A249" s="3"/>
      <c r="B249" s="3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6"/>
      <c r="AJ249" s="7"/>
      <c r="AK249" s="8"/>
      <c r="AL249" s="7"/>
      <c r="AM249" s="4"/>
      <c r="AN249" s="7"/>
      <c r="AO249" s="7"/>
      <c r="AP249" s="7"/>
      <c r="AQ249" s="4"/>
      <c r="AR249" s="7"/>
      <c r="AS249" s="4"/>
      <c r="AT249" s="7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</row>
    <row r="250" spans="1:63" ht="15.75" customHeight="1">
      <c r="A250" s="3"/>
      <c r="B250" s="3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6"/>
      <c r="AJ250" s="7"/>
      <c r="AK250" s="8"/>
      <c r="AL250" s="7"/>
      <c r="AM250" s="4"/>
      <c r="AN250" s="7"/>
      <c r="AO250" s="7"/>
      <c r="AP250" s="7"/>
      <c r="AQ250" s="4"/>
      <c r="AR250" s="7"/>
      <c r="AS250" s="4"/>
      <c r="AT250" s="7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</row>
    <row r="251" spans="1:63" ht="15.75" customHeight="1">
      <c r="A251" s="3"/>
      <c r="B251" s="3"/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6"/>
      <c r="AJ251" s="7"/>
      <c r="AK251" s="8"/>
      <c r="AL251" s="7"/>
      <c r="AM251" s="4"/>
      <c r="AN251" s="7"/>
      <c r="AO251" s="7"/>
      <c r="AP251" s="7"/>
      <c r="AQ251" s="4"/>
      <c r="AR251" s="7"/>
      <c r="AS251" s="4"/>
      <c r="AT251" s="7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</row>
    <row r="252" spans="1:63" ht="15.75" customHeight="1">
      <c r="A252" s="3"/>
      <c r="B252" s="3"/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6"/>
      <c r="AJ252" s="7"/>
      <c r="AK252" s="8"/>
      <c r="AL252" s="7"/>
      <c r="AM252" s="4"/>
      <c r="AN252" s="7"/>
      <c r="AO252" s="7"/>
      <c r="AP252" s="7"/>
      <c r="AQ252" s="4"/>
      <c r="AR252" s="7"/>
      <c r="AS252" s="4"/>
      <c r="AT252" s="7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</row>
    <row r="253" spans="1:63" ht="15.75" customHeight="1">
      <c r="A253" s="3"/>
      <c r="B253" s="3"/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6"/>
      <c r="AJ253" s="7"/>
      <c r="AK253" s="8"/>
      <c r="AL253" s="7"/>
      <c r="AM253" s="4"/>
      <c r="AN253" s="7"/>
      <c r="AO253" s="7"/>
      <c r="AP253" s="7"/>
      <c r="AQ253" s="4"/>
      <c r="AR253" s="7"/>
      <c r="AS253" s="4"/>
      <c r="AT253" s="7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</row>
    <row r="254" spans="1:63" ht="15.75" customHeight="1">
      <c r="A254" s="3"/>
      <c r="B254" s="3"/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6"/>
      <c r="AJ254" s="7"/>
      <c r="AK254" s="8"/>
      <c r="AL254" s="7"/>
      <c r="AM254" s="4"/>
      <c r="AN254" s="7"/>
      <c r="AO254" s="7"/>
      <c r="AP254" s="7"/>
      <c r="AQ254" s="4"/>
      <c r="AR254" s="7"/>
      <c r="AS254" s="4"/>
      <c r="AT254" s="7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</row>
    <row r="255" spans="1:63" ht="15.75" customHeight="1">
      <c r="A255" s="3"/>
      <c r="B255" s="3"/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6"/>
      <c r="AJ255" s="7"/>
      <c r="AK255" s="8"/>
      <c r="AL255" s="7"/>
      <c r="AM255" s="4"/>
      <c r="AN255" s="7"/>
      <c r="AO255" s="7"/>
      <c r="AP255" s="7"/>
      <c r="AQ255" s="4"/>
      <c r="AR255" s="7"/>
      <c r="AS255" s="4"/>
      <c r="AT255" s="7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</row>
    <row r="256" spans="1:63" ht="15.75" customHeight="1">
      <c r="A256" s="3"/>
      <c r="B256" s="3"/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6"/>
      <c r="AJ256" s="7"/>
      <c r="AK256" s="8"/>
      <c r="AL256" s="7"/>
      <c r="AM256" s="4"/>
      <c r="AN256" s="7"/>
      <c r="AO256" s="7"/>
      <c r="AP256" s="7"/>
      <c r="AQ256" s="4"/>
      <c r="AR256" s="7"/>
      <c r="AS256" s="4"/>
      <c r="AT256" s="7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</row>
    <row r="257" spans="1:63" ht="15.75" customHeight="1">
      <c r="A257" s="3"/>
      <c r="B257" s="3"/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6"/>
      <c r="AJ257" s="7"/>
      <c r="AK257" s="8"/>
      <c r="AL257" s="7"/>
      <c r="AM257" s="4"/>
      <c r="AN257" s="7"/>
      <c r="AO257" s="7"/>
      <c r="AP257" s="7"/>
      <c r="AQ257" s="4"/>
      <c r="AR257" s="7"/>
      <c r="AS257" s="4"/>
      <c r="AT257" s="7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</row>
    <row r="258" spans="1:63" ht="15.75" customHeight="1">
      <c r="A258" s="3"/>
      <c r="B258" s="3"/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6"/>
      <c r="AJ258" s="7"/>
      <c r="AK258" s="8"/>
      <c r="AL258" s="7"/>
      <c r="AM258" s="4"/>
      <c r="AN258" s="7"/>
      <c r="AO258" s="7"/>
      <c r="AP258" s="7"/>
      <c r="AQ258" s="4"/>
      <c r="AR258" s="7"/>
      <c r="AS258" s="4"/>
      <c r="AT258" s="7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</row>
    <row r="259" spans="1:63" ht="15.75" customHeight="1">
      <c r="A259" s="3"/>
      <c r="B259" s="3"/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6"/>
      <c r="AJ259" s="7"/>
      <c r="AK259" s="8"/>
      <c r="AL259" s="7"/>
      <c r="AM259" s="4"/>
      <c r="AN259" s="7"/>
      <c r="AO259" s="7"/>
      <c r="AP259" s="7"/>
      <c r="AQ259" s="4"/>
      <c r="AR259" s="7"/>
      <c r="AS259" s="4"/>
      <c r="AT259" s="7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</row>
    <row r="260" spans="1:63" ht="15.75" customHeight="1">
      <c r="A260" s="3"/>
      <c r="B260" s="3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6"/>
      <c r="AJ260" s="7"/>
      <c r="AK260" s="8"/>
      <c r="AL260" s="7"/>
      <c r="AM260" s="4"/>
      <c r="AN260" s="7"/>
      <c r="AO260" s="7"/>
      <c r="AP260" s="7"/>
      <c r="AQ260" s="4"/>
      <c r="AR260" s="7"/>
      <c r="AS260" s="4"/>
      <c r="AT260" s="7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</row>
    <row r="261" spans="1:63" ht="15.75" customHeight="1">
      <c r="A261" s="3"/>
      <c r="B261" s="3"/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6"/>
      <c r="AJ261" s="7"/>
      <c r="AK261" s="8"/>
      <c r="AL261" s="7"/>
      <c r="AM261" s="4"/>
      <c r="AN261" s="7"/>
      <c r="AO261" s="7"/>
      <c r="AP261" s="7"/>
      <c r="AQ261" s="4"/>
      <c r="AR261" s="7"/>
      <c r="AS261" s="4"/>
      <c r="AT261" s="7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</row>
    <row r="262" spans="1:63" ht="15.75" customHeight="1">
      <c r="A262" s="3"/>
      <c r="B262" s="3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6"/>
      <c r="AJ262" s="7"/>
      <c r="AK262" s="8"/>
      <c r="AL262" s="7"/>
      <c r="AM262" s="4"/>
      <c r="AN262" s="7"/>
      <c r="AO262" s="7"/>
      <c r="AP262" s="7"/>
      <c r="AQ262" s="4"/>
      <c r="AR262" s="7"/>
      <c r="AS262" s="4"/>
      <c r="AT262" s="7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</row>
    <row r="263" spans="1:63" ht="15.75" customHeight="1">
      <c r="A263" s="3"/>
      <c r="B263" s="3"/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6"/>
      <c r="AJ263" s="7"/>
      <c r="AK263" s="8"/>
      <c r="AL263" s="7"/>
      <c r="AM263" s="4"/>
      <c r="AN263" s="7"/>
      <c r="AO263" s="7"/>
      <c r="AP263" s="7"/>
      <c r="AQ263" s="4"/>
      <c r="AR263" s="7"/>
      <c r="AS263" s="4"/>
      <c r="AT263" s="7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</row>
    <row r="264" spans="1:63" ht="15.75" customHeight="1">
      <c r="A264" s="3"/>
      <c r="B264" s="3"/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6"/>
      <c r="AJ264" s="7"/>
      <c r="AK264" s="8"/>
      <c r="AL264" s="7"/>
      <c r="AM264" s="4"/>
      <c r="AN264" s="7"/>
      <c r="AO264" s="7"/>
      <c r="AP264" s="7"/>
      <c r="AQ264" s="4"/>
      <c r="AR264" s="7"/>
      <c r="AS264" s="4"/>
      <c r="AT264" s="7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</row>
    <row r="265" spans="1:63" ht="15.75" customHeight="1">
      <c r="A265" s="3"/>
      <c r="B265" s="3"/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6"/>
      <c r="AJ265" s="7"/>
      <c r="AK265" s="8"/>
      <c r="AL265" s="7"/>
      <c r="AM265" s="4"/>
      <c r="AN265" s="7"/>
      <c r="AO265" s="7"/>
      <c r="AP265" s="7"/>
      <c r="AQ265" s="4"/>
      <c r="AR265" s="7"/>
      <c r="AS265" s="4"/>
      <c r="AT265" s="7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</row>
    <row r="266" spans="1:63" ht="15.75" customHeight="1">
      <c r="A266" s="3"/>
      <c r="B266" s="3"/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6"/>
      <c r="AJ266" s="7"/>
      <c r="AK266" s="8"/>
      <c r="AL266" s="7"/>
      <c r="AM266" s="4"/>
      <c r="AN266" s="7"/>
      <c r="AO266" s="7"/>
      <c r="AP266" s="7"/>
      <c r="AQ266" s="4"/>
      <c r="AR266" s="7"/>
      <c r="AS266" s="4"/>
      <c r="AT266" s="7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</row>
    <row r="267" spans="1:63" ht="15.75" customHeight="1">
      <c r="A267" s="3"/>
      <c r="B267" s="3"/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6"/>
      <c r="AJ267" s="7"/>
      <c r="AK267" s="8"/>
      <c r="AL267" s="7"/>
      <c r="AM267" s="4"/>
      <c r="AN267" s="7"/>
      <c r="AO267" s="7"/>
      <c r="AP267" s="7"/>
      <c r="AQ267" s="4"/>
      <c r="AR267" s="7"/>
      <c r="AS267" s="4"/>
      <c r="AT267" s="7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</row>
    <row r="268" spans="1:63" ht="15.75" customHeight="1">
      <c r="A268" s="3"/>
      <c r="B268" s="3"/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6"/>
      <c r="AJ268" s="7"/>
      <c r="AK268" s="8"/>
      <c r="AL268" s="7"/>
      <c r="AM268" s="4"/>
      <c r="AN268" s="7"/>
      <c r="AO268" s="7"/>
      <c r="AP268" s="7"/>
      <c r="AQ268" s="4"/>
      <c r="AR268" s="7"/>
      <c r="AS268" s="4"/>
      <c r="AT268" s="7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</row>
    <row r="269" spans="1:63" ht="15.75" customHeight="1">
      <c r="A269" s="3"/>
      <c r="B269" s="3"/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6"/>
      <c r="AJ269" s="7"/>
      <c r="AK269" s="8"/>
      <c r="AL269" s="7"/>
      <c r="AM269" s="4"/>
      <c r="AN269" s="7"/>
      <c r="AO269" s="7"/>
      <c r="AP269" s="7"/>
      <c r="AQ269" s="4"/>
      <c r="AR269" s="7"/>
      <c r="AS269" s="4"/>
      <c r="AT269" s="7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</row>
    <row r="270" spans="1:63" ht="15.75" customHeight="1">
      <c r="A270" s="3"/>
      <c r="B270" s="3"/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6"/>
      <c r="AJ270" s="7"/>
      <c r="AK270" s="8"/>
      <c r="AL270" s="7"/>
      <c r="AM270" s="4"/>
      <c r="AN270" s="7"/>
      <c r="AO270" s="7"/>
      <c r="AP270" s="7"/>
      <c r="AQ270" s="4"/>
      <c r="AR270" s="7"/>
      <c r="AS270" s="4"/>
      <c r="AT270" s="7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</row>
    <row r="271" spans="1:63" ht="15.75" customHeight="1">
      <c r="A271" s="3"/>
      <c r="B271" s="3"/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6"/>
      <c r="AJ271" s="7"/>
      <c r="AK271" s="8"/>
      <c r="AL271" s="7"/>
      <c r="AM271" s="4"/>
      <c r="AN271" s="7"/>
      <c r="AO271" s="7"/>
      <c r="AP271" s="7"/>
      <c r="AQ271" s="4"/>
      <c r="AR271" s="7"/>
      <c r="AS271" s="4"/>
      <c r="AT271" s="7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</row>
    <row r="272" spans="1:63" ht="15.75" customHeight="1">
      <c r="A272" s="3"/>
      <c r="B272" s="3"/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6"/>
      <c r="AJ272" s="7"/>
      <c r="AK272" s="8"/>
      <c r="AL272" s="7"/>
      <c r="AM272" s="4"/>
      <c r="AN272" s="7"/>
      <c r="AO272" s="7"/>
      <c r="AP272" s="7"/>
      <c r="AQ272" s="4"/>
      <c r="AR272" s="7"/>
      <c r="AS272" s="4"/>
      <c r="AT272" s="7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</row>
    <row r="273" spans="1:63" ht="15.75" customHeight="1">
      <c r="A273" s="3"/>
      <c r="B273" s="3"/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6"/>
      <c r="AJ273" s="7"/>
      <c r="AK273" s="8"/>
      <c r="AL273" s="7"/>
      <c r="AM273" s="4"/>
      <c r="AN273" s="7"/>
      <c r="AO273" s="7"/>
      <c r="AP273" s="7"/>
      <c r="AQ273" s="4"/>
      <c r="AR273" s="7"/>
      <c r="AS273" s="4"/>
      <c r="AT273" s="7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</row>
    <row r="274" spans="1:63" ht="15.75" customHeight="1">
      <c r="A274" s="3"/>
      <c r="B274" s="3"/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6"/>
      <c r="AJ274" s="7"/>
      <c r="AK274" s="8"/>
      <c r="AL274" s="7"/>
      <c r="AM274" s="4"/>
      <c r="AN274" s="7"/>
      <c r="AO274" s="7"/>
      <c r="AP274" s="7"/>
      <c r="AQ274" s="4"/>
      <c r="AR274" s="7"/>
      <c r="AS274" s="4"/>
      <c r="AT274" s="7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</row>
    <row r="275" spans="1:63" ht="15.75" customHeight="1">
      <c r="A275" s="3"/>
      <c r="B275" s="3"/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6"/>
      <c r="AJ275" s="7"/>
      <c r="AK275" s="8"/>
      <c r="AL275" s="7"/>
      <c r="AM275" s="4"/>
      <c r="AN275" s="7"/>
      <c r="AO275" s="7"/>
      <c r="AP275" s="7"/>
      <c r="AQ275" s="4"/>
      <c r="AR275" s="7"/>
      <c r="AS275" s="4"/>
      <c r="AT275" s="7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</row>
    <row r="276" spans="1:63" ht="15.75" customHeight="1">
      <c r="A276" s="3"/>
      <c r="B276" s="3"/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6"/>
      <c r="AJ276" s="7"/>
      <c r="AK276" s="8"/>
      <c r="AL276" s="7"/>
      <c r="AM276" s="4"/>
      <c r="AN276" s="7"/>
      <c r="AO276" s="7"/>
      <c r="AP276" s="7"/>
      <c r="AQ276" s="4"/>
      <c r="AR276" s="7"/>
      <c r="AS276" s="4"/>
      <c r="AT276" s="7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</row>
    <row r="277" spans="1:63" ht="15.75" customHeight="1">
      <c r="A277" s="3"/>
      <c r="B277" s="3"/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6"/>
      <c r="AJ277" s="7"/>
      <c r="AK277" s="8"/>
      <c r="AL277" s="7"/>
      <c r="AM277" s="4"/>
      <c r="AN277" s="7"/>
      <c r="AO277" s="7"/>
      <c r="AP277" s="7"/>
      <c r="AQ277" s="4"/>
      <c r="AR277" s="7"/>
      <c r="AS277" s="4"/>
      <c r="AT277" s="7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</row>
    <row r="278" spans="1:63" ht="15.75" customHeight="1">
      <c r="A278" s="3"/>
      <c r="B278" s="3"/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6"/>
      <c r="AJ278" s="7"/>
      <c r="AK278" s="8"/>
      <c r="AL278" s="7"/>
      <c r="AM278" s="4"/>
      <c r="AN278" s="7"/>
      <c r="AO278" s="7"/>
      <c r="AP278" s="7"/>
      <c r="AQ278" s="4"/>
      <c r="AR278" s="7"/>
      <c r="AS278" s="4"/>
      <c r="AT278" s="7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</row>
    <row r="279" spans="1:63" ht="15.75" customHeight="1">
      <c r="A279" s="3"/>
      <c r="B279" s="3"/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6"/>
      <c r="AJ279" s="7"/>
      <c r="AK279" s="8"/>
      <c r="AL279" s="7"/>
      <c r="AM279" s="4"/>
      <c r="AN279" s="7"/>
      <c r="AO279" s="7"/>
      <c r="AP279" s="7"/>
      <c r="AQ279" s="4"/>
      <c r="AR279" s="7"/>
      <c r="AS279" s="4"/>
      <c r="AT279" s="7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</row>
    <row r="280" spans="1:63" ht="15.75" customHeight="1">
      <c r="A280" s="3"/>
      <c r="B280" s="3"/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6"/>
      <c r="AJ280" s="7"/>
      <c r="AK280" s="8"/>
      <c r="AL280" s="7"/>
      <c r="AM280" s="4"/>
      <c r="AN280" s="7"/>
      <c r="AO280" s="7"/>
      <c r="AP280" s="7"/>
      <c r="AQ280" s="4"/>
      <c r="AR280" s="7"/>
      <c r="AS280" s="4"/>
      <c r="AT280" s="7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</row>
    <row r="281" spans="1:63" ht="15.75" customHeight="1">
      <c r="A281" s="3"/>
      <c r="B281" s="3"/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6"/>
      <c r="AJ281" s="7"/>
      <c r="AK281" s="8"/>
      <c r="AL281" s="7"/>
      <c r="AM281" s="4"/>
      <c r="AN281" s="7"/>
      <c r="AO281" s="7"/>
      <c r="AP281" s="7"/>
      <c r="AQ281" s="4"/>
      <c r="AR281" s="7"/>
      <c r="AS281" s="4"/>
      <c r="AT281" s="7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</row>
    <row r="282" spans="1:63" ht="15.75" customHeight="1">
      <c r="A282" s="3"/>
      <c r="B282" s="3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6"/>
      <c r="AJ282" s="7"/>
      <c r="AK282" s="8"/>
      <c r="AL282" s="7"/>
      <c r="AM282" s="4"/>
      <c r="AN282" s="7"/>
      <c r="AO282" s="7"/>
      <c r="AP282" s="7"/>
      <c r="AQ282" s="4"/>
      <c r="AR282" s="7"/>
      <c r="AS282" s="4"/>
      <c r="AT282" s="7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</row>
    <row r="283" spans="1:63" ht="15.75" customHeight="1">
      <c r="A283" s="3"/>
      <c r="B283" s="3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6"/>
      <c r="AJ283" s="7"/>
      <c r="AK283" s="8"/>
      <c r="AL283" s="7"/>
      <c r="AM283" s="4"/>
      <c r="AN283" s="7"/>
      <c r="AO283" s="7"/>
      <c r="AP283" s="7"/>
      <c r="AQ283" s="4"/>
      <c r="AR283" s="7"/>
      <c r="AS283" s="4"/>
      <c r="AT283" s="7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</row>
    <row r="284" spans="1:63" ht="15.75" customHeight="1">
      <c r="A284" s="3"/>
      <c r="B284" s="3"/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6"/>
      <c r="AJ284" s="7"/>
      <c r="AK284" s="8"/>
      <c r="AL284" s="7"/>
      <c r="AM284" s="4"/>
      <c r="AN284" s="7"/>
      <c r="AO284" s="7"/>
      <c r="AP284" s="7"/>
      <c r="AQ284" s="4"/>
      <c r="AR284" s="7"/>
      <c r="AS284" s="4"/>
      <c r="AT284" s="7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</row>
    <row r="285" spans="1:63" ht="15.75" customHeight="1">
      <c r="A285" s="3"/>
      <c r="B285" s="3"/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6"/>
      <c r="AJ285" s="7"/>
      <c r="AK285" s="8"/>
      <c r="AL285" s="7"/>
      <c r="AM285" s="4"/>
      <c r="AN285" s="7"/>
      <c r="AO285" s="7"/>
      <c r="AP285" s="7"/>
      <c r="AQ285" s="4"/>
      <c r="AR285" s="7"/>
      <c r="AS285" s="4"/>
      <c r="AT285" s="7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</row>
    <row r="286" spans="1:63" ht="15.75" customHeight="1">
      <c r="A286" s="3"/>
      <c r="B286" s="3"/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6"/>
      <c r="AJ286" s="7"/>
      <c r="AK286" s="8"/>
      <c r="AL286" s="7"/>
      <c r="AM286" s="4"/>
      <c r="AN286" s="7"/>
      <c r="AO286" s="7"/>
      <c r="AP286" s="7"/>
      <c r="AQ286" s="4"/>
      <c r="AR286" s="7"/>
      <c r="AS286" s="4"/>
      <c r="AT286" s="7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</row>
    <row r="287" spans="1:63" ht="15.75" customHeight="1">
      <c r="A287" s="3"/>
      <c r="B287" s="3"/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6"/>
      <c r="AJ287" s="7"/>
      <c r="AK287" s="8"/>
      <c r="AL287" s="7"/>
      <c r="AM287" s="4"/>
      <c r="AN287" s="7"/>
      <c r="AO287" s="7"/>
      <c r="AP287" s="7"/>
      <c r="AQ287" s="4"/>
      <c r="AR287" s="7"/>
      <c r="AS287" s="4"/>
      <c r="AT287" s="7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</row>
    <row r="288" spans="1:63" ht="15.75" customHeight="1">
      <c r="A288" s="3"/>
      <c r="B288" s="3"/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6"/>
      <c r="AJ288" s="7"/>
      <c r="AK288" s="8"/>
      <c r="AL288" s="7"/>
      <c r="AM288" s="4"/>
      <c r="AN288" s="7"/>
      <c r="AO288" s="7"/>
      <c r="AP288" s="7"/>
      <c r="AQ288" s="4"/>
      <c r="AR288" s="7"/>
      <c r="AS288" s="4"/>
      <c r="AT288" s="7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</row>
    <row r="289" spans="1:63" ht="15.75" customHeight="1">
      <c r="A289" s="3"/>
      <c r="B289" s="3"/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6"/>
      <c r="AJ289" s="7"/>
      <c r="AK289" s="8"/>
      <c r="AL289" s="7"/>
      <c r="AM289" s="4"/>
      <c r="AN289" s="7"/>
      <c r="AO289" s="7"/>
      <c r="AP289" s="7"/>
      <c r="AQ289" s="4"/>
      <c r="AR289" s="7"/>
      <c r="AS289" s="4"/>
      <c r="AT289" s="7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</row>
    <row r="290" spans="1:63" ht="15.75" customHeight="1">
      <c r="A290" s="3"/>
      <c r="B290" s="3"/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6"/>
      <c r="AJ290" s="7"/>
      <c r="AK290" s="8"/>
      <c r="AL290" s="7"/>
      <c r="AM290" s="4"/>
      <c r="AN290" s="7"/>
      <c r="AO290" s="7"/>
      <c r="AP290" s="7"/>
      <c r="AQ290" s="4"/>
      <c r="AR290" s="7"/>
      <c r="AS290" s="4"/>
      <c r="AT290" s="7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</row>
    <row r="291" spans="1:63" ht="15.75" customHeight="1">
      <c r="A291" s="3"/>
      <c r="B291" s="3"/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6"/>
      <c r="AJ291" s="7"/>
      <c r="AK291" s="8"/>
      <c r="AL291" s="7"/>
      <c r="AM291" s="4"/>
      <c r="AN291" s="7"/>
      <c r="AO291" s="7"/>
      <c r="AP291" s="7"/>
      <c r="AQ291" s="4"/>
      <c r="AR291" s="7"/>
      <c r="AS291" s="4"/>
      <c r="AT291" s="7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</row>
    <row r="292" spans="1:63" ht="15.75" customHeight="1">
      <c r="A292" s="3"/>
      <c r="B292" s="3"/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6"/>
      <c r="AJ292" s="7"/>
      <c r="AK292" s="8"/>
      <c r="AL292" s="7"/>
      <c r="AM292" s="4"/>
      <c r="AN292" s="7"/>
      <c r="AO292" s="7"/>
      <c r="AP292" s="7"/>
      <c r="AQ292" s="4"/>
      <c r="AR292" s="7"/>
      <c r="AS292" s="4"/>
      <c r="AT292" s="7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</row>
    <row r="293" spans="1:63" ht="15.75" customHeight="1">
      <c r="A293" s="3"/>
      <c r="B293" s="3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6"/>
      <c r="AJ293" s="7"/>
      <c r="AK293" s="8"/>
      <c r="AL293" s="7"/>
      <c r="AM293" s="4"/>
      <c r="AN293" s="7"/>
      <c r="AO293" s="7"/>
      <c r="AP293" s="7"/>
      <c r="AQ293" s="4"/>
      <c r="AR293" s="7"/>
      <c r="AS293" s="4"/>
      <c r="AT293" s="7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</row>
    <row r="294" spans="1:63" ht="15.75" customHeight="1">
      <c r="A294" s="3"/>
      <c r="B294" s="3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6"/>
      <c r="AJ294" s="7"/>
      <c r="AK294" s="8"/>
      <c r="AL294" s="7"/>
      <c r="AM294" s="4"/>
      <c r="AN294" s="7"/>
      <c r="AO294" s="7"/>
      <c r="AP294" s="7"/>
      <c r="AQ294" s="4"/>
      <c r="AR294" s="7"/>
      <c r="AS294" s="4"/>
      <c r="AT294" s="7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</row>
    <row r="295" spans="1:63" ht="15.75" customHeight="1">
      <c r="A295" s="3"/>
      <c r="B295" s="3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6"/>
      <c r="AJ295" s="7"/>
      <c r="AK295" s="8"/>
      <c r="AL295" s="7"/>
      <c r="AM295" s="4"/>
      <c r="AN295" s="7"/>
      <c r="AO295" s="7"/>
      <c r="AP295" s="7"/>
      <c r="AQ295" s="4"/>
      <c r="AR295" s="7"/>
      <c r="AS295" s="4"/>
      <c r="AT295" s="7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</row>
    <row r="296" spans="1:63" ht="15.75" customHeight="1">
      <c r="A296" s="3"/>
      <c r="B296" s="3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6"/>
      <c r="AJ296" s="7"/>
      <c r="AK296" s="8"/>
      <c r="AL296" s="7"/>
      <c r="AM296" s="4"/>
      <c r="AN296" s="7"/>
      <c r="AO296" s="7"/>
      <c r="AP296" s="7"/>
      <c r="AQ296" s="4"/>
      <c r="AR296" s="7"/>
      <c r="AS296" s="4"/>
      <c r="AT296" s="7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</row>
    <row r="297" spans="1:63" ht="15.75" customHeight="1">
      <c r="A297" s="3"/>
      <c r="B297" s="3"/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6"/>
      <c r="AJ297" s="7"/>
      <c r="AK297" s="8"/>
      <c r="AL297" s="7"/>
      <c r="AM297" s="4"/>
      <c r="AN297" s="7"/>
      <c r="AO297" s="7"/>
      <c r="AP297" s="7"/>
      <c r="AQ297" s="4"/>
      <c r="AR297" s="7"/>
      <c r="AS297" s="4"/>
      <c r="AT297" s="7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</row>
    <row r="298" spans="1:63" ht="15.75" customHeight="1">
      <c r="A298" s="3"/>
      <c r="B298" s="3"/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6"/>
      <c r="AJ298" s="7"/>
      <c r="AK298" s="8"/>
      <c r="AL298" s="7"/>
      <c r="AM298" s="4"/>
      <c r="AN298" s="7"/>
      <c r="AO298" s="7"/>
      <c r="AP298" s="7"/>
      <c r="AQ298" s="4"/>
      <c r="AR298" s="7"/>
      <c r="AS298" s="4"/>
      <c r="AT298" s="7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</row>
    <row r="299" spans="1:63" ht="15.75" customHeight="1">
      <c r="A299" s="3"/>
      <c r="B299" s="3"/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6"/>
      <c r="AJ299" s="7"/>
      <c r="AK299" s="8"/>
      <c r="AL299" s="7"/>
      <c r="AM299" s="4"/>
      <c r="AN299" s="7"/>
      <c r="AO299" s="7"/>
      <c r="AP299" s="7"/>
      <c r="AQ299" s="4"/>
      <c r="AR299" s="7"/>
      <c r="AS299" s="4"/>
      <c r="AT299" s="7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</row>
    <row r="300" spans="1:63" ht="15.75" customHeight="1">
      <c r="A300" s="3"/>
      <c r="B300" s="3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6"/>
      <c r="AJ300" s="7"/>
      <c r="AK300" s="8"/>
      <c r="AL300" s="7"/>
      <c r="AM300" s="4"/>
      <c r="AN300" s="7"/>
      <c r="AO300" s="7"/>
      <c r="AP300" s="7"/>
      <c r="AQ300" s="4"/>
      <c r="AR300" s="7"/>
      <c r="AS300" s="4"/>
      <c r="AT300" s="7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</row>
    <row r="301" spans="1:63" ht="15.75" customHeight="1">
      <c r="A301" s="3"/>
      <c r="B301" s="3"/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6"/>
      <c r="AJ301" s="7"/>
      <c r="AK301" s="8"/>
      <c r="AL301" s="7"/>
      <c r="AM301" s="4"/>
      <c r="AN301" s="7"/>
      <c r="AO301" s="7"/>
      <c r="AP301" s="7"/>
      <c r="AQ301" s="4"/>
      <c r="AR301" s="7"/>
      <c r="AS301" s="4"/>
      <c r="AT301" s="7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</row>
    <row r="302" spans="1:63" ht="15.75" customHeight="1">
      <c r="A302" s="3"/>
      <c r="B302" s="3"/>
      <c r="C302" s="3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6"/>
      <c r="AJ302" s="7"/>
      <c r="AK302" s="8"/>
      <c r="AL302" s="7"/>
      <c r="AM302" s="4"/>
      <c r="AN302" s="7"/>
      <c r="AO302" s="7"/>
      <c r="AP302" s="7"/>
      <c r="AQ302" s="4"/>
      <c r="AR302" s="7"/>
      <c r="AS302" s="4"/>
      <c r="AT302" s="7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</row>
    <row r="303" spans="1:63" ht="15.75" customHeight="1">
      <c r="A303" s="3"/>
      <c r="B303" s="3"/>
      <c r="C303" s="3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6"/>
      <c r="AJ303" s="7"/>
      <c r="AK303" s="8"/>
      <c r="AL303" s="7"/>
      <c r="AM303" s="4"/>
      <c r="AN303" s="7"/>
      <c r="AO303" s="7"/>
      <c r="AP303" s="7"/>
      <c r="AQ303" s="4"/>
      <c r="AR303" s="7"/>
      <c r="AS303" s="4"/>
      <c r="AT303" s="7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</row>
    <row r="304" spans="1:63" ht="15.75" customHeight="1">
      <c r="A304" s="3"/>
      <c r="B304" s="3"/>
      <c r="C304" s="3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6"/>
      <c r="AJ304" s="7"/>
      <c r="AK304" s="8"/>
      <c r="AL304" s="7"/>
      <c r="AM304" s="4"/>
      <c r="AN304" s="7"/>
      <c r="AO304" s="7"/>
      <c r="AP304" s="7"/>
      <c r="AQ304" s="4"/>
      <c r="AR304" s="7"/>
      <c r="AS304" s="4"/>
      <c r="AT304" s="7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</row>
    <row r="305" spans="1:63" ht="15.75" customHeight="1">
      <c r="A305" s="3"/>
      <c r="B305" s="3"/>
      <c r="C305" s="3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6"/>
      <c r="AJ305" s="7"/>
      <c r="AK305" s="8"/>
      <c r="AL305" s="7"/>
      <c r="AM305" s="4"/>
      <c r="AN305" s="7"/>
      <c r="AO305" s="7"/>
      <c r="AP305" s="7"/>
      <c r="AQ305" s="4"/>
      <c r="AR305" s="7"/>
      <c r="AS305" s="4"/>
      <c r="AT305" s="7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</row>
    <row r="306" spans="1:63" ht="15.75" customHeight="1">
      <c r="A306" s="3"/>
      <c r="B306" s="3"/>
      <c r="C306" s="3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6"/>
      <c r="AJ306" s="7"/>
      <c r="AK306" s="8"/>
      <c r="AL306" s="7"/>
      <c r="AM306" s="4"/>
      <c r="AN306" s="7"/>
      <c r="AO306" s="7"/>
      <c r="AP306" s="7"/>
      <c r="AQ306" s="4"/>
      <c r="AR306" s="7"/>
      <c r="AS306" s="4"/>
      <c r="AT306" s="7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</row>
    <row r="307" spans="1:63" ht="15.75" customHeight="1">
      <c r="A307" s="3"/>
      <c r="B307" s="3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6"/>
      <c r="AJ307" s="7"/>
      <c r="AK307" s="8"/>
      <c r="AL307" s="7"/>
      <c r="AM307" s="4"/>
      <c r="AN307" s="7"/>
      <c r="AO307" s="7"/>
      <c r="AP307" s="7"/>
      <c r="AQ307" s="4"/>
      <c r="AR307" s="7"/>
      <c r="AS307" s="4"/>
      <c r="AT307" s="7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</row>
    <row r="308" spans="1:63" ht="15.75" customHeight="1">
      <c r="A308" s="3"/>
      <c r="B308" s="3"/>
      <c r="C308" s="3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6"/>
      <c r="AJ308" s="7"/>
      <c r="AK308" s="8"/>
      <c r="AL308" s="7"/>
      <c r="AM308" s="4"/>
      <c r="AN308" s="7"/>
      <c r="AO308" s="7"/>
      <c r="AP308" s="7"/>
      <c r="AQ308" s="4"/>
      <c r="AR308" s="7"/>
      <c r="AS308" s="4"/>
      <c r="AT308" s="7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</row>
    <row r="309" spans="1:63" ht="15.75" customHeight="1">
      <c r="A309" s="3"/>
      <c r="B309" s="3"/>
      <c r="C309" s="3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6"/>
      <c r="AJ309" s="7"/>
      <c r="AK309" s="8"/>
      <c r="AL309" s="7"/>
      <c r="AM309" s="4"/>
      <c r="AN309" s="7"/>
      <c r="AO309" s="7"/>
      <c r="AP309" s="7"/>
      <c r="AQ309" s="4"/>
      <c r="AR309" s="7"/>
      <c r="AS309" s="4"/>
      <c r="AT309" s="7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</row>
    <row r="310" spans="1:63" ht="15.75" customHeight="1">
      <c r="A310" s="3"/>
      <c r="B310" s="3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6"/>
      <c r="AJ310" s="7"/>
      <c r="AK310" s="8"/>
      <c r="AL310" s="7"/>
      <c r="AM310" s="4"/>
      <c r="AN310" s="7"/>
      <c r="AO310" s="7"/>
      <c r="AP310" s="7"/>
      <c r="AQ310" s="4"/>
      <c r="AR310" s="7"/>
      <c r="AS310" s="4"/>
      <c r="AT310" s="7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</row>
    <row r="311" spans="1:63" ht="15.75" customHeight="1">
      <c r="A311" s="3"/>
      <c r="B311" s="3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6"/>
      <c r="AJ311" s="7"/>
      <c r="AK311" s="8"/>
      <c r="AL311" s="7"/>
      <c r="AM311" s="4"/>
      <c r="AN311" s="7"/>
      <c r="AO311" s="7"/>
      <c r="AP311" s="7"/>
      <c r="AQ311" s="4"/>
      <c r="AR311" s="7"/>
      <c r="AS311" s="4"/>
      <c r="AT311" s="7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</row>
    <row r="312" spans="1:63" ht="15.75" customHeight="1">
      <c r="A312" s="3"/>
      <c r="B312" s="3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6"/>
      <c r="AJ312" s="7"/>
      <c r="AK312" s="8"/>
      <c r="AL312" s="7"/>
      <c r="AM312" s="4"/>
      <c r="AN312" s="7"/>
      <c r="AO312" s="7"/>
      <c r="AP312" s="7"/>
      <c r="AQ312" s="4"/>
      <c r="AR312" s="7"/>
      <c r="AS312" s="4"/>
      <c r="AT312" s="7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</row>
    <row r="313" spans="1:63" ht="15.75" customHeight="1">
      <c r="A313" s="3"/>
      <c r="B313" s="3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6"/>
      <c r="AJ313" s="7"/>
      <c r="AK313" s="8"/>
      <c r="AL313" s="7"/>
      <c r="AM313" s="4"/>
      <c r="AN313" s="7"/>
      <c r="AO313" s="7"/>
      <c r="AP313" s="7"/>
      <c r="AQ313" s="4"/>
      <c r="AR313" s="7"/>
      <c r="AS313" s="4"/>
      <c r="AT313" s="7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</row>
    <row r="314" spans="1:63" ht="15.75" customHeight="1">
      <c r="A314" s="3"/>
      <c r="B314" s="3"/>
      <c r="C314" s="3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6"/>
      <c r="AJ314" s="7"/>
      <c r="AK314" s="8"/>
      <c r="AL314" s="7"/>
      <c r="AM314" s="4"/>
      <c r="AN314" s="7"/>
      <c r="AO314" s="7"/>
      <c r="AP314" s="7"/>
      <c r="AQ314" s="4"/>
      <c r="AR314" s="7"/>
      <c r="AS314" s="4"/>
      <c r="AT314" s="7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</row>
    <row r="315" spans="1:63" ht="15.75" customHeight="1">
      <c r="A315" s="3"/>
      <c r="B315" s="3"/>
      <c r="C315" s="3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6"/>
      <c r="AJ315" s="7"/>
      <c r="AK315" s="8"/>
      <c r="AL315" s="7"/>
      <c r="AM315" s="4"/>
      <c r="AN315" s="7"/>
      <c r="AO315" s="7"/>
      <c r="AP315" s="7"/>
      <c r="AQ315" s="4"/>
      <c r="AR315" s="7"/>
      <c r="AS315" s="4"/>
      <c r="AT315" s="7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</row>
    <row r="316" spans="1:63" ht="15.75" customHeight="1">
      <c r="A316" s="3"/>
      <c r="B316" s="3"/>
      <c r="C316" s="3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6"/>
      <c r="AJ316" s="7"/>
      <c r="AK316" s="8"/>
      <c r="AL316" s="7"/>
      <c r="AM316" s="4"/>
      <c r="AN316" s="7"/>
      <c r="AO316" s="7"/>
      <c r="AP316" s="7"/>
      <c r="AQ316" s="4"/>
      <c r="AR316" s="7"/>
      <c r="AS316" s="4"/>
      <c r="AT316" s="7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</row>
    <row r="317" spans="1:63" ht="15.75" customHeight="1">
      <c r="A317" s="3"/>
      <c r="B317" s="3"/>
      <c r="C317" s="3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6"/>
      <c r="AJ317" s="7"/>
      <c r="AK317" s="8"/>
      <c r="AL317" s="7"/>
      <c r="AM317" s="4"/>
      <c r="AN317" s="7"/>
      <c r="AO317" s="7"/>
      <c r="AP317" s="7"/>
      <c r="AQ317" s="4"/>
      <c r="AR317" s="7"/>
      <c r="AS317" s="4"/>
      <c r="AT317" s="7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</row>
    <row r="318" spans="1:63" ht="15.75" customHeight="1">
      <c r="A318" s="3"/>
      <c r="B318" s="3"/>
      <c r="C318" s="3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6"/>
      <c r="AJ318" s="7"/>
      <c r="AK318" s="8"/>
      <c r="AL318" s="7"/>
      <c r="AM318" s="4"/>
      <c r="AN318" s="7"/>
      <c r="AO318" s="7"/>
      <c r="AP318" s="7"/>
      <c r="AQ318" s="4"/>
      <c r="AR318" s="7"/>
      <c r="AS318" s="4"/>
      <c r="AT318" s="7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</row>
    <row r="319" spans="1:63" ht="15.75" customHeight="1">
      <c r="A319" s="3"/>
      <c r="B319" s="3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6"/>
      <c r="AJ319" s="7"/>
      <c r="AK319" s="8"/>
      <c r="AL319" s="7"/>
      <c r="AM319" s="4"/>
      <c r="AN319" s="7"/>
      <c r="AO319" s="7"/>
      <c r="AP319" s="7"/>
      <c r="AQ319" s="4"/>
      <c r="AR319" s="7"/>
      <c r="AS319" s="4"/>
      <c r="AT319" s="7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</row>
    <row r="320" spans="1:63" ht="15.75" customHeight="1">
      <c r="A320" s="3"/>
      <c r="B320" s="3"/>
      <c r="C320" s="3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6"/>
      <c r="AJ320" s="7"/>
      <c r="AK320" s="8"/>
      <c r="AL320" s="7"/>
      <c r="AM320" s="4"/>
      <c r="AN320" s="7"/>
      <c r="AO320" s="7"/>
      <c r="AP320" s="7"/>
      <c r="AQ320" s="4"/>
      <c r="AR320" s="7"/>
      <c r="AS320" s="4"/>
      <c r="AT320" s="7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</row>
    <row r="321" spans="1:63" ht="15.75" customHeight="1">
      <c r="A321" s="3"/>
      <c r="B321" s="3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6"/>
      <c r="AJ321" s="7"/>
      <c r="AK321" s="8"/>
      <c r="AL321" s="7"/>
      <c r="AM321" s="4"/>
      <c r="AN321" s="7"/>
      <c r="AO321" s="7"/>
      <c r="AP321" s="7"/>
      <c r="AQ321" s="4"/>
      <c r="AR321" s="7"/>
      <c r="AS321" s="4"/>
      <c r="AT321" s="7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</row>
    <row r="322" spans="1:63" ht="15.75" customHeight="1">
      <c r="A322" s="3"/>
      <c r="B322" s="3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6"/>
      <c r="AJ322" s="7"/>
      <c r="AK322" s="8"/>
      <c r="AL322" s="7"/>
      <c r="AM322" s="4"/>
      <c r="AN322" s="7"/>
      <c r="AO322" s="7"/>
      <c r="AP322" s="7"/>
      <c r="AQ322" s="4"/>
      <c r="AR322" s="7"/>
      <c r="AS322" s="4"/>
      <c r="AT322" s="7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</row>
    <row r="323" spans="1:63" ht="15.75" customHeight="1">
      <c r="A323" s="3"/>
      <c r="B323" s="3"/>
      <c r="C323" s="3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6"/>
      <c r="AJ323" s="7"/>
      <c r="AK323" s="8"/>
      <c r="AL323" s="7"/>
      <c r="AM323" s="4"/>
      <c r="AN323" s="7"/>
      <c r="AO323" s="7"/>
      <c r="AP323" s="7"/>
      <c r="AQ323" s="4"/>
      <c r="AR323" s="7"/>
      <c r="AS323" s="4"/>
      <c r="AT323" s="7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</row>
    <row r="324" spans="1:63" ht="15.75" customHeight="1">
      <c r="A324" s="3"/>
      <c r="B324" s="3"/>
      <c r="C324" s="3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6"/>
      <c r="AJ324" s="7"/>
      <c r="AK324" s="8"/>
      <c r="AL324" s="7"/>
      <c r="AM324" s="4"/>
      <c r="AN324" s="7"/>
      <c r="AO324" s="7"/>
      <c r="AP324" s="7"/>
      <c r="AQ324" s="4"/>
      <c r="AR324" s="7"/>
      <c r="AS324" s="4"/>
      <c r="AT324" s="7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</row>
    <row r="325" spans="1:63" ht="15.75" customHeight="1">
      <c r="A325" s="3"/>
      <c r="B325" s="3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6"/>
      <c r="AJ325" s="7"/>
      <c r="AK325" s="8"/>
      <c r="AL325" s="7"/>
      <c r="AM325" s="4"/>
      <c r="AN325" s="7"/>
      <c r="AO325" s="7"/>
      <c r="AP325" s="7"/>
      <c r="AQ325" s="4"/>
      <c r="AR325" s="7"/>
      <c r="AS325" s="4"/>
      <c r="AT325" s="7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</row>
    <row r="326" spans="1:63" ht="15.75" customHeight="1">
      <c r="A326" s="3"/>
      <c r="B326" s="3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6"/>
      <c r="AJ326" s="7"/>
      <c r="AK326" s="8"/>
      <c r="AL326" s="7"/>
      <c r="AM326" s="4"/>
      <c r="AN326" s="7"/>
      <c r="AO326" s="7"/>
      <c r="AP326" s="7"/>
      <c r="AQ326" s="4"/>
      <c r="AR326" s="7"/>
      <c r="AS326" s="4"/>
      <c r="AT326" s="7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</row>
    <row r="327" spans="1:63" ht="15.75" customHeight="1">
      <c r="A327" s="3"/>
      <c r="B327" s="3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6"/>
      <c r="AJ327" s="7"/>
      <c r="AK327" s="8"/>
      <c r="AL327" s="7"/>
      <c r="AM327" s="4"/>
      <c r="AN327" s="7"/>
      <c r="AO327" s="7"/>
      <c r="AP327" s="7"/>
      <c r="AQ327" s="4"/>
      <c r="AR327" s="7"/>
      <c r="AS327" s="4"/>
      <c r="AT327" s="7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</row>
    <row r="328" spans="1:63" ht="15.75" customHeight="1">
      <c r="A328" s="3"/>
      <c r="B328" s="3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6"/>
      <c r="AJ328" s="7"/>
      <c r="AK328" s="8"/>
      <c r="AL328" s="7"/>
      <c r="AM328" s="4"/>
      <c r="AN328" s="7"/>
      <c r="AO328" s="7"/>
      <c r="AP328" s="7"/>
      <c r="AQ328" s="4"/>
      <c r="AR328" s="7"/>
      <c r="AS328" s="4"/>
      <c r="AT328" s="7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</row>
    <row r="329" spans="1:63" ht="15.75" customHeight="1">
      <c r="A329" s="3"/>
      <c r="B329" s="3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6"/>
      <c r="AJ329" s="7"/>
      <c r="AK329" s="8"/>
      <c r="AL329" s="7"/>
      <c r="AM329" s="4"/>
      <c r="AN329" s="7"/>
      <c r="AO329" s="7"/>
      <c r="AP329" s="7"/>
      <c r="AQ329" s="4"/>
      <c r="AR329" s="7"/>
      <c r="AS329" s="4"/>
      <c r="AT329" s="7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</row>
    <row r="330" spans="1:63" ht="15.75" customHeight="1">
      <c r="A330" s="3"/>
      <c r="B330" s="3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6"/>
      <c r="AJ330" s="7"/>
      <c r="AK330" s="8"/>
      <c r="AL330" s="7"/>
      <c r="AM330" s="4"/>
      <c r="AN330" s="7"/>
      <c r="AO330" s="7"/>
      <c r="AP330" s="7"/>
      <c r="AQ330" s="4"/>
      <c r="AR330" s="7"/>
      <c r="AS330" s="4"/>
      <c r="AT330" s="7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</row>
    <row r="331" spans="1:63" ht="15.75" customHeight="1">
      <c r="A331" s="3"/>
      <c r="B331" s="3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6"/>
      <c r="AJ331" s="7"/>
      <c r="AK331" s="8"/>
      <c r="AL331" s="7"/>
      <c r="AM331" s="4"/>
      <c r="AN331" s="7"/>
      <c r="AO331" s="7"/>
      <c r="AP331" s="7"/>
      <c r="AQ331" s="4"/>
      <c r="AR331" s="7"/>
      <c r="AS331" s="4"/>
      <c r="AT331" s="7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</row>
    <row r="332" spans="1:63" ht="15.75" customHeight="1">
      <c r="A332" s="3"/>
      <c r="B332" s="3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6"/>
      <c r="AJ332" s="7"/>
      <c r="AK332" s="8"/>
      <c r="AL332" s="7"/>
      <c r="AM332" s="4"/>
      <c r="AN332" s="7"/>
      <c r="AO332" s="7"/>
      <c r="AP332" s="7"/>
      <c r="AQ332" s="4"/>
      <c r="AR332" s="7"/>
      <c r="AS332" s="4"/>
      <c r="AT332" s="7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</row>
    <row r="333" spans="1:63" ht="15.75" customHeight="1">
      <c r="A333" s="3"/>
      <c r="B333" s="3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6"/>
      <c r="AJ333" s="7"/>
      <c r="AK333" s="8"/>
      <c r="AL333" s="7"/>
      <c r="AM333" s="4"/>
      <c r="AN333" s="7"/>
      <c r="AO333" s="7"/>
      <c r="AP333" s="7"/>
      <c r="AQ333" s="4"/>
      <c r="AR333" s="7"/>
      <c r="AS333" s="4"/>
      <c r="AT333" s="7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</row>
    <row r="334" spans="1:63" ht="15.75" customHeight="1">
      <c r="A334" s="3"/>
      <c r="B334" s="3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6"/>
      <c r="AJ334" s="7"/>
      <c r="AK334" s="8"/>
      <c r="AL334" s="7"/>
      <c r="AM334" s="4"/>
      <c r="AN334" s="7"/>
      <c r="AO334" s="7"/>
      <c r="AP334" s="7"/>
      <c r="AQ334" s="4"/>
      <c r="AR334" s="7"/>
      <c r="AS334" s="4"/>
      <c r="AT334" s="7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</row>
    <row r="335" spans="1:63" ht="15.75" customHeight="1">
      <c r="A335" s="3"/>
      <c r="B335" s="3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6"/>
      <c r="AJ335" s="7"/>
      <c r="AK335" s="8"/>
      <c r="AL335" s="7"/>
      <c r="AM335" s="4"/>
      <c r="AN335" s="7"/>
      <c r="AO335" s="7"/>
      <c r="AP335" s="7"/>
      <c r="AQ335" s="4"/>
      <c r="AR335" s="7"/>
      <c r="AS335" s="4"/>
      <c r="AT335" s="7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</row>
    <row r="336" spans="1:63" ht="15.75" customHeight="1">
      <c r="A336" s="3"/>
      <c r="B336" s="3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6"/>
      <c r="AJ336" s="7"/>
      <c r="AK336" s="8"/>
      <c r="AL336" s="7"/>
      <c r="AM336" s="4"/>
      <c r="AN336" s="7"/>
      <c r="AO336" s="7"/>
      <c r="AP336" s="7"/>
      <c r="AQ336" s="4"/>
      <c r="AR336" s="7"/>
      <c r="AS336" s="4"/>
      <c r="AT336" s="7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</row>
    <row r="337" spans="1:63" ht="15.75" customHeight="1">
      <c r="A337" s="3"/>
      <c r="B337" s="3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6"/>
      <c r="AJ337" s="7"/>
      <c r="AK337" s="8"/>
      <c r="AL337" s="7"/>
      <c r="AM337" s="4"/>
      <c r="AN337" s="7"/>
      <c r="AO337" s="7"/>
      <c r="AP337" s="7"/>
      <c r="AQ337" s="4"/>
      <c r="AR337" s="7"/>
      <c r="AS337" s="4"/>
      <c r="AT337" s="7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</row>
    <row r="338" spans="1:63" ht="15.75" customHeight="1">
      <c r="A338" s="3"/>
      <c r="B338" s="3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6"/>
      <c r="AJ338" s="7"/>
      <c r="AK338" s="8"/>
      <c r="AL338" s="7"/>
      <c r="AM338" s="4"/>
      <c r="AN338" s="7"/>
      <c r="AO338" s="7"/>
      <c r="AP338" s="7"/>
      <c r="AQ338" s="4"/>
      <c r="AR338" s="7"/>
      <c r="AS338" s="4"/>
      <c r="AT338" s="7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</row>
    <row r="339" spans="1:63" ht="15.75" customHeight="1">
      <c r="A339" s="3"/>
      <c r="B339" s="3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6"/>
      <c r="AJ339" s="7"/>
      <c r="AK339" s="8"/>
      <c r="AL339" s="7"/>
      <c r="AM339" s="4"/>
      <c r="AN339" s="7"/>
      <c r="AO339" s="7"/>
      <c r="AP339" s="7"/>
      <c r="AQ339" s="4"/>
      <c r="AR339" s="7"/>
      <c r="AS339" s="4"/>
      <c r="AT339" s="7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</row>
    <row r="340" spans="1:63" ht="15.75" customHeight="1">
      <c r="A340" s="3"/>
      <c r="B340" s="3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6"/>
      <c r="AJ340" s="7"/>
      <c r="AK340" s="8"/>
      <c r="AL340" s="7"/>
      <c r="AM340" s="4"/>
      <c r="AN340" s="7"/>
      <c r="AO340" s="7"/>
      <c r="AP340" s="7"/>
      <c r="AQ340" s="4"/>
      <c r="AR340" s="7"/>
      <c r="AS340" s="4"/>
      <c r="AT340" s="7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</row>
    <row r="341" spans="1:63" ht="15.75" customHeight="1">
      <c r="A341" s="3"/>
      <c r="B341" s="3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6"/>
      <c r="AJ341" s="7"/>
      <c r="AK341" s="8"/>
      <c r="AL341" s="7"/>
      <c r="AM341" s="4"/>
      <c r="AN341" s="7"/>
      <c r="AO341" s="7"/>
      <c r="AP341" s="7"/>
      <c r="AQ341" s="4"/>
      <c r="AR341" s="7"/>
      <c r="AS341" s="4"/>
      <c r="AT341" s="7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</row>
    <row r="342" spans="1:63" ht="15.75" customHeight="1">
      <c r="A342" s="3"/>
      <c r="B342" s="3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6"/>
      <c r="AJ342" s="7"/>
      <c r="AK342" s="8"/>
      <c r="AL342" s="7"/>
      <c r="AM342" s="4"/>
      <c r="AN342" s="7"/>
      <c r="AO342" s="7"/>
      <c r="AP342" s="7"/>
      <c r="AQ342" s="4"/>
      <c r="AR342" s="7"/>
      <c r="AS342" s="4"/>
      <c r="AT342" s="7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</row>
    <row r="343" spans="1:63" ht="15.75" customHeight="1">
      <c r="A343" s="3"/>
      <c r="B343" s="3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6"/>
      <c r="AJ343" s="7"/>
      <c r="AK343" s="8"/>
      <c r="AL343" s="7"/>
      <c r="AM343" s="4"/>
      <c r="AN343" s="7"/>
      <c r="AO343" s="7"/>
      <c r="AP343" s="7"/>
      <c r="AQ343" s="4"/>
      <c r="AR343" s="7"/>
      <c r="AS343" s="4"/>
      <c r="AT343" s="7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</row>
    <row r="344" spans="1:63" ht="15.75" customHeight="1">
      <c r="A344" s="3"/>
      <c r="B344" s="3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6"/>
      <c r="AJ344" s="7"/>
      <c r="AK344" s="8"/>
      <c r="AL344" s="7"/>
      <c r="AM344" s="4"/>
      <c r="AN344" s="7"/>
      <c r="AO344" s="7"/>
      <c r="AP344" s="7"/>
      <c r="AQ344" s="4"/>
      <c r="AR344" s="7"/>
      <c r="AS344" s="4"/>
      <c r="AT344" s="7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</row>
    <row r="345" spans="1:63" ht="15.75" customHeight="1">
      <c r="A345" s="3"/>
      <c r="B345" s="3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6"/>
      <c r="AJ345" s="7"/>
      <c r="AK345" s="8"/>
      <c r="AL345" s="7"/>
      <c r="AM345" s="4"/>
      <c r="AN345" s="7"/>
      <c r="AO345" s="7"/>
      <c r="AP345" s="7"/>
      <c r="AQ345" s="4"/>
      <c r="AR345" s="7"/>
      <c r="AS345" s="4"/>
      <c r="AT345" s="7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</row>
    <row r="346" spans="1:63" ht="15.75" customHeight="1">
      <c r="A346" s="3"/>
      <c r="B346" s="3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6"/>
      <c r="AJ346" s="7"/>
      <c r="AK346" s="8"/>
      <c r="AL346" s="7"/>
      <c r="AM346" s="4"/>
      <c r="AN346" s="7"/>
      <c r="AO346" s="7"/>
      <c r="AP346" s="7"/>
      <c r="AQ346" s="4"/>
      <c r="AR346" s="7"/>
      <c r="AS346" s="4"/>
      <c r="AT346" s="7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</row>
    <row r="347" spans="1:63" ht="15.75" customHeight="1">
      <c r="A347" s="3"/>
      <c r="B347" s="3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6"/>
      <c r="AJ347" s="7"/>
      <c r="AK347" s="8"/>
      <c r="AL347" s="7"/>
      <c r="AM347" s="4"/>
      <c r="AN347" s="7"/>
      <c r="AO347" s="7"/>
      <c r="AP347" s="7"/>
      <c r="AQ347" s="4"/>
      <c r="AR347" s="7"/>
      <c r="AS347" s="4"/>
      <c r="AT347" s="7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</row>
    <row r="348" spans="1:63" ht="15.75" customHeight="1">
      <c r="A348" s="3"/>
      <c r="B348" s="3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6"/>
      <c r="AJ348" s="7"/>
      <c r="AK348" s="8"/>
      <c r="AL348" s="7"/>
      <c r="AM348" s="4"/>
      <c r="AN348" s="7"/>
      <c r="AO348" s="7"/>
      <c r="AP348" s="7"/>
      <c r="AQ348" s="4"/>
      <c r="AR348" s="7"/>
      <c r="AS348" s="4"/>
      <c r="AT348" s="7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</row>
    <row r="349" spans="1:63" ht="15.75" customHeight="1">
      <c r="A349" s="3"/>
      <c r="B349" s="3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6"/>
      <c r="AJ349" s="7"/>
      <c r="AK349" s="8"/>
      <c r="AL349" s="7"/>
      <c r="AM349" s="4"/>
      <c r="AN349" s="7"/>
      <c r="AO349" s="7"/>
      <c r="AP349" s="7"/>
      <c r="AQ349" s="4"/>
      <c r="AR349" s="7"/>
      <c r="AS349" s="4"/>
      <c r="AT349" s="7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</row>
    <row r="350" spans="1:63" ht="15.75" customHeight="1">
      <c r="A350" s="3"/>
      <c r="B350" s="3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6"/>
      <c r="AJ350" s="7"/>
      <c r="AK350" s="8"/>
      <c r="AL350" s="7"/>
      <c r="AM350" s="4"/>
      <c r="AN350" s="7"/>
      <c r="AO350" s="7"/>
      <c r="AP350" s="7"/>
      <c r="AQ350" s="4"/>
      <c r="AR350" s="7"/>
      <c r="AS350" s="4"/>
      <c r="AT350" s="7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</row>
    <row r="351" spans="1:63" ht="15.75" customHeight="1">
      <c r="A351" s="3"/>
      <c r="B351" s="3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6"/>
      <c r="AJ351" s="7"/>
      <c r="AK351" s="8"/>
      <c r="AL351" s="7"/>
      <c r="AM351" s="4"/>
      <c r="AN351" s="7"/>
      <c r="AO351" s="7"/>
      <c r="AP351" s="7"/>
      <c r="AQ351" s="4"/>
      <c r="AR351" s="7"/>
      <c r="AS351" s="4"/>
      <c r="AT351" s="7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</row>
    <row r="352" spans="1:63" ht="15.75" customHeight="1">
      <c r="A352" s="3"/>
      <c r="B352" s="3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6"/>
      <c r="AJ352" s="7"/>
      <c r="AK352" s="8"/>
      <c r="AL352" s="7"/>
      <c r="AM352" s="4"/>
      <c r="AN352" s="7"/>
      <c r="AO352" s="7"/>
      <c r="AP352" s="7"/>
      <c r="AQ352" s="4"/>
      <c r="AR352" s="7"/>
      <c r="AS352" s="4"/>
      <c r="AT352" s="7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</row>
    <row r="353" spans="1:63" ht="15.75" customHeight="1">
      <c r="A353" s="3"/>
      <c r="B353" s="3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6"/>
      <c r="AJ353" s="7"/>
      <c r="AK353" s="8"/>
      <c r="AL353" s="7"/>
      <c r="AM353" s="4"/>
      <c r="AN353" s="7"/>
      <c r="AO353" s="7"/>
      <c r="AP353" s="7"/>
      <c r="AQ353" s="4"/>
      <c r="AR353" s="7"/>
      <c r="AS353" s="4"/>
      <c r="AT353" s="7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</row>
    <row r="354" spans="1:63" ht="15.75" customHeight="1">
      <c r="A354" s="3"/>
      <c r="B354" s="3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6"/>
      <c r="AJ354" s="7"/>
      <c r="AK354" s="8"/>
      <c r="AL354" s="7"/>
      <c r="AM354" s="4"/>
      <c r="AN354" s="7"/>
      <c r="AO354" s="7"/>
      <c r="AP354" s="7"/>
      <c r="AQ354" s="4"/>
      <c r="AR354" s="7"/>
      <c r="AS354" s="4"/>
      <c r="AT354" s="7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</row>
    <row r="355" spans="1:63" ht="15.75" customHeight="1">
      <c r="A355" s="3"/>
      <c r="B355" s="3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6"/>
      <c r="AJ355" s="7"/>
      <c r="AK355" s="8"/>
      <c r="AL355" s="7"/>
      <c r="AM355" s="4"/>
      <c r="AN355" s="7"/>
      <c r="AO355" s="7"/>
      <c r="AP355" s="7"/>
      <c r="AQ355" s="4"/>
      <c r="AR355" s="7"/>
      <c r="AS355" s="4"/>
      <c r="AT355" s="7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</row>
    <row r="356" spans="1:63" ht="15.75" customHeight="1">
      <c r="A356" s="3"/>
      <c r="B356" s="3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6"/>
      <c r="AJ356" s="7"/>
      <c r="AK356" s="8"/>
      <c r="AL356" s="7"/>
      <c r="AM356" s="4"/>
      <c r="AN356" s="7"/>
      <c r="AO356" s="7"/>
      <c r="AP356" s="7"/>
      <c r="AQ356" s="4"/>
      <c r="AR356" s="7"/>
      <c r="AS356" s="4"/>
      <c r="AT356" s="7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</row>
    <row r="357" spans="1:63" ht="15.75" customHeight="1">
      <c r="A357" s="3"/>
      <c r="B357" s="3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6"/>
      <c r="AJ357" s="7"/>
      <c r="AK357" s="8"/>
      <c r="AL357" s="7"/>
      <c r="AM357" s="4"/>
      <c r="AN357" s="7"/>
      <c r="AO357" s="7"/>
      <c r="AP357" s="7"/>
      <c r="AQ357" s="4"/>
      <c r="AR357" s="7"/>
      <c r="AS357" s="4"/>
      <c r="AT357" s="7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</row>
    <row r="358" spans="1:63" ht="15.75" customHeight="1">
      <c r="A358" s="3"/>
      <c r="B358" s="3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6"/>
      <c r="AJ358" s="7"/>
      <c r="AK358" s="8"/>
      <c r="AL358" s="7"/>
      <c r="AM358" s="4"/>
      <c r="AN358" s="7"/>
      <c r="AO358" s="7"/>
      <c r="AP358" s="7"/>
      <c r="AQ358" s="4"/>
      <c r="AR358" s="7"/>
      <c r="AS358" s="4"/>
      <c r="AT358" s="7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</row>
    <row r="359" spans="1:63" ht="15.75" customHeight="1">
      <c r="A359" s="3"/>
      <c r="B359" s="3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6"/>
      <c r="AJ359" s="7"/>
      <c r="AK359" s="8"/>
      <c r="AL359" s="7"/>
      <c r="AM359" s="4"/>
      <c r="AN359" s="7"/>
      <c r="AO359" s="7"/>
      <c r="AP359" s="7"/>
      <c r="AQ359" s="4"/>
      <c r="AR359" s="7"/>
      <c r="AS359" s="4"/>
      <c r="AT359" s="7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</row>
    <row r="360" spans="1:63" ht="15.75" customHeight="1">
      <c r="A360" s="3"/>
      <c r="B360" s="3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6"/>
      <c r="AJ360" s="7"/>
      <c r="AK360" s="8"/>
      <c r="AL360" s="7"/>
      <c r="AM360" s="4"/>
      <c r="AN360" s="7"/>
      <c r="AO360" s="7"/>
      <c r="AP360" s="7"/>
      <c r="AQ360" s="4"/>
      <c r="AR360" s="7"/>
      <c r="AS360" s="4"/>
      <c r="AT360" s="7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</row>
    <row r="361" spans="1:63" ht="15.75" customHeight="1">
      <c r="A361" s="3"/>
      <c r="B361" s="3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6"/>
      <c r="AJ361" s="7"/>
      <c r="AK361" s="8"/>
      <c r="AL361" s="7"/>
      <c r="AM361" s="4"/>
      <c r="AN361" s="7"/>
      <c r="AO361" s="7"/>
      <c r="AP361" s="7"/>
      <c r="AQ361" s="4"/>
      <c r="AR361" s="7"/>
      <c r="AS361" s="4"/>
      <c r="AT361" s="7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</row>
    <row r="362" spans="1:63" ht="15.75" customHeight="1">
      <c r="A362" s="3"/>
      <c r="B362" s="3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6"/>
      <c r="AJ362" s="7"/>
      <c r="AK362" s="8"/>
      <c r="AL362" s="7"/>
      <c r="AM362" s="4"/>
      <c r="AN362" s="7"/>
      <c r="AO362" s="7"/>
      <c r="AP362" s="7"/>
      <c r="AQ362" s="4"/>
      <c r="AR362" s="7"/>
      <c r="AS362" s="4"/>
      <c r="AT362" s="7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</row>
    <row r="363" spans="1:63" ht="15.75" customHeight="1">
      <c r="A363" s="3"/>
      <c r="B363" s="3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6"/>
      <c r="AJ363" s="7"/>
      <c r="AK363" s="8"/>
      <c r="AL363" s="7"/>
      <c r="AM363" s="4"/>
      <c r="AN363" s="7"/>
      <c r="AO363" s="7"/>
      <c r="AP363" s="7"/>
      <c r="AQ363" s="4"/>
      <c r="AR363" s="7"/>
      <c r="AS363" s="4"/>
      <c r="AT363" s="7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</row>
    <row r="364" spans="1:63" ht="15.75" customHeight="1">
      <c r="A364" s="3"/>
      <c r="B364" s="3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6"/>
      <c r="AJ364" s="7"/>
      <c r="AK364" s="8"/>
      <c r="AL364" s="7"/>
      <c r="AM364" s="4"/>
      <c r="AN364" s="7"/>
      <c r="AO364" s="7"/>
      <c r="AP364" s="7"/>
      <c r="AQ364" s="4"/>
      <c r="AR364" s="7"/>
      <c r="AS364" s="4"/>
      <c r="AT364" s="7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</row>
    <row r="365" spans="1:63" ht="15.75" customHeight="1">
      <c r="A365" s="3"/>
      <c r="B365" s="3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6"/>
      <c r="AJ365" s="7"/>
      <c r="AK365" s="8"/>
      <c r="AL365" s="7"/>
      <c r="AM365" s="4"/>
      <c r="AN365" s="7"/>
      <c r="AO365" s="7"/>
      <c r="AP365" s="7"/>
      <c r="AQ365" s="4"/>
      <c r="AR365" s="7"/>
      <c r="AS365" s="4"/>
      <c r="AT365" s="7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</row>
    <row r="366" spans="1:63" ht="15.75" customHeight="1">
      <c r="A366" s="3"/>
      <c r="B366" s="3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6"/>
      <c r="AJ366" s="7"/>
      <c r="AK366" s="8"/>
      <c r="AL366" s="7"/>
      <c r="AM366" s="4"/>
      <c r="AN366" s="7"/>
      <c r="AO366" s="7"/>
      <c r="AP366" s="7"/>
      <c r="AQ366" s="4"/>
      <c r="AR366" s="7"/>
      <c r="AS366" s="4"/>
      <c r="AT366" s="7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</row>
    <row r="367" spans="1:63" ht="15.75" customHeight="1">
      <c r="A367" s="3"/>
      <c r="B367" s="3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6"/>
      <c r="AJ367" s="7"/>
      <c r="AK367" s="8"/>
      <c r="AL367" s="7"/>
      <c r="AM367" s="4"/>
      <c r="AN367" s="7"/>
      <c r="AO367" s="7"/>
      <c r="AP367" s="7"/>
      <c r="AQ367" s="4"/>
      <c r="AR367" s="7"/>
      <c r="AS367" s="4"/>
      <c r="AT367" s="7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</row>
    <row r="368" spans="1:63" ht="15.75" customHeight="1">
      <c r="A368" s="3"/>
      <c r="B368" s="3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6"/>
      <c r="AJ368" s="7"/>
      <c r="AK368" s="8"/>
      <c r="AL368" s="7"/>
      <c r="AM368" s="4"/>
      <c r="AN368" s="7"/>
      <c r="AO368" s="7"/>
      <c r="AP368" s="7"/>
      <c r="AQ368" s="4"/>
      <c r="AR368" s="7"/>
      <c r="AS368" s="4"/>
      <c r="AT368" s="7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</row>
    <row r="369" spans="1:63" ht="15.75" customHeight="1">
      <c r="A369" s="3"/>
      <c r="B369" s="3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6"/>
      <c r="AJ369" s="7"/>
      <c r="AK369" s="8"/>
      <c r="AL369" s="7"/>
      <c r="AM369" s="4"/>
      <c r="AN369" s="7"/>
      <c r="AO369" s="7"/>
      <c r="AP369" s="7"/>
      <c r="AQ369" s="4"/>
      <c r="AR369" s="7"/>
      <c r="AS369" s="4"/>
      <c r="AT369" s="7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</row>
    <row r="370" spans="1:63" ht="15.75" customHeight="1">
      <c r="A370" s="3"/>
      <c r="B370" s="3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6"/>
      <c r="AJ370" s="7"/>
      <c r="AK370" s="8"/>
      <c r="AL370" s="7"/>
      <c r="AM370" s="4"/>
      <c r="AN370" s="7"/>
      <c r="AO370" s="7"/>
      <c r="AP370" s="7"/>
      <c r="AQ370" s="4"/>
      <c r="AR370" s="7"/>
      <c r="AS370" s="4"/>
      <c r="AT370" s="7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</row>
    <row r="371" spans="1:63" ht="15.75" customHeight="1">
      <c r="A371" s="3"/>
      <c r="B371" s="3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6"/>
      <c r="AJ371" s="7"/>
      <c r="AK371" s="8"/>
      <c r="AL371" s="7"/>
      <c r="AM371" s="4"/>
      <c r="AN371" s="7"/>
      <c r="AO371" s="7"/>
      <c r="AP371" s="7"/>
      <c r="AQ371" s="4"/>
      <c r="AR371" s="7"/>
      <c r="AS371" s="4"/>
      <c r="AT371" s="7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</row>
    <row r="372" spans="1:63" ht="15.75" customHeight="1">
      <c r="A372" s="3"/>
      <c r="B372" s="3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6"/>
      <c r="AJ372" s="7"/>
      <c r="AK372" s="8"/>
      <c r="AL372" s="7"/>
      <c r="AM372" s="4"/>
      <c r="AN372" s="7"/>
      <c r="AO372" s="7"/>
      <c r="AP372" s="7"/>
      <c r="AQ372" s="4"/>
      <c r="AR372" s="7"/>
      <c r="AS372" s="4"/>
      <c r="AT372" s="7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</row>
    <row r="373" spans="1:63" ht="15.75" customHeight="1">
      <c r="A373" s="3"/>
      <c r="B373" s="3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6"/>
      <c r="AJ373" s="7"/>
      <c r="AK373" s="8"/>
      <c r="AL373" s="7"/>
      <c r="AM373" s="4"/>
      <c r="AN373" s="7"/>
      <c r="AO373" s="7"/>
      <c r="AP373" s="7"/>
      <c r="AQ373" s="4"/>
      <c r="AR373" s="7"/>
      <c r="AS373" s="4"/>
      <c r="AT373" s="7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</row>
    <row r="374" spans="1:63" ht="15.75" customHeight="1">
      <c r="A374" s="3"/>
      <c r="B374" s="3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6"/>
      <c r="AJ374" s="7"/>
      <c r="AK374" s="8"/>
      <c r="AL374" s="7"/>
      <c r="AM374" s="4"/>
      <c r="AN374" s="7"/>
      <c r="AO374" s="7"/>
      <c r="AP374" s="7"/>
      <c r="AQ374" s="4"/>
      <c r="AR374" s="7"/>
      <c r="AS374" s="4"/>
      <c r="AT374" s="7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</row>
    <row r="375" spans="1:63" ht="15.75" customHeight="1">
      <c r="A375" s="3"/>
      <c r="B375" s="3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6"/>
      <c r="AJ375" s="7"/>
      <c r="AK375" s="8"/>
      <c r="AL375" s="7"/>
      <c r="AM375" s="4"/>
      <c r="AN375" s="7"/>
      <c r="AO375" s="7"/>
      <c r="AP375" s="7"/>
      <c r="AQ375" s="4"/>
      <c r="AR375" s="7"/>
      <c r="AS375" s="4"/>
      <c r="AT375" s="7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</row>
    <row r="376" spans="1:63" ht="15.75" customHeight="1">
      <c r="A376" s="3"/>
      <c r="B376" s="3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6"/>
      <c r="AJ376" s="7"/>
      <c r="AK376" s="8"/>
      <c r="AL376" s="7"/>
      <c r="AM376" s="4"/>
      <c r="AN376" s="7"/>
      <c r="AO376" s="7"/>
      <c r="AP376" s="7"/>
      <c r="AQ376" s="4"/>
      <c r="AR376" s="7"/>
      <c r="AS376" s="4"/>
      <c r="AT376" s="7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</row>
    <row r="377" spans="1:63" ht="15.75" customHeight="1">
      <c r="A377" s="3"/>
      <c r="B377" s="3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6"/>
      <c r="AJ377" s="7"/>
      <c r="AK377" s="8"/>
      <c r="AL377" s="7"/>
      <c r="AM377" s="4"/>
      <c r="AN377" s="7"/>
      <c r="AO377" s="7"/>
      <c r="AP377" s="7"/>
      <c r="AQ377" s="4"/>
      <c r="AR377" s="7"/>
      <c r="AS377" s="4"/>
      <c r="AT377" s="7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</row>
    <row r="378" spans="1:63" ht="15.75" customHeight="1">
      <c r="A378" s="3"/>
      <c r="B378" s="3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6"/>
      <c r="AJ378" s="7"/>
      <c r="AK378" s="8"/>
      <c r="AL378" s="7"/>
      <c r="AM378" s="4"/>
      <c r="AN378" s="7"/>
      <c r="AO378" s="7"/>
      <c r="AP378" s="7"/>
      <c r="AQ378" s="4"/>
      <c r="AR378" s="7"/>
      <c r="AS378" s="4"/>
      <c r="AT378" s="7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</row>
    <row r="379" spans="1:63" ht="15.75" customHeight="1">
      <c r="A379" s="3"/>
      <c r="B379" s="3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6"/>
      <c r="AJ379" s="7"/>
      <c r="AK379" s="8"/>
      <c r="AL379" s="7"/>
      <c r="AM379" s="4"/>
      <c r="AN379" s="7"/>
      <c r="AO379" s="7"/>
      <c r="AP379" s="7"/>
      <c r="AQ379" s="4"/>
      <c r="AR379" s="7"/>
      <c r="AS379" s="4"/>
      <c r="AT379" s="7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</row>
    <row r="380" spans="1:63" ht="15.75" customHeight="1">
      <c r="A380" s="3"/>
      <c r="B380" s="3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6"/>
      <c r="AJ380" s="7"/>
      <c r="AK380" s="8"/>
      <c r="AL380" s="7"/>
      <c r="AM380" s="4"/>
      <c r="AN380" s="7"/>
      <c r="AO380" s="7"/>
      <c r="AP380" s="7"/>
      <c r="AQ380" s="4"/>
      <c r="AR380" s="7"/>
      <c r="AS380" s="4"/>
      <c r="AT380" s="7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</row>
    <row r="381" spans="1:63" ht="15.75" customHeight="1">
      <c r="A381" s="3"/>
      <c r="B381" s="3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6"/>
      <c r="AJ381" s="7"/>
      <c r="AK381" s="8"/>
      <c r="AL381" s="7"/>
      <c r="AM381" s="4"/>
      <c r="AN381" s="7"/>
      <c r="AO381" s="7"/>
      <c r="AP381" s="7"/>
      <c r="AQ381" s="4"/>
      <c r="AR381" s="7"/>
      <c r="AS381" s="4"/>
      <c r="AT381" s="7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</row>
    <row r="382" spans="1:63" ht="15.75" customHeight="1">
      <c r="A382" s="3"/>
      <c r="B382" s="3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6"/>
      <c r="AJ382" s="7"/>
      <c r="AK382" s="8"/>
      <c r="AL382" s="7"/>
      <c r="AM382" s="4"/>
      <c r="AN382" s="7"/>
      <c r="AO382" s="7"/>
      <c r="AP382" s="7"/>
      <c r="AQ382" s="4"/>
      <c r="AR382" s="7"/>
      <c r="AS382" s="4"/>
      <c r="AT382" s="7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</row>
    <row r="383" spans="1:63" ht="15.75" customHeight="1">
      <c r="A383" s="3"/>
      <c r="B383" s="3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6"/>
      <c r="AJ383" s="7"/>
      <c r="AK383" s="8"/>
      <c r="AL383" s="7"/>
      <c r="AM383" s="4"/>
      <c r="AN383" s="7"/>
      <c r="AO383" s="7"/>
      <c r="AP383" s="7"/>
      <c r="AQ383" s="4"/>
      <c r="AR383" s="7"/>
      <c r="AS383" s="4"/>
      <c r="AT383" s="7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</row>
    <row r="384" spans="1:63" ht="15.75" customHeight="1">
      <c r="A384" s="3"/>
      <c r="B384" s="3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6"/>
      <c r="AJ384" s="7"/>
      <c r="AK384" s="8"/>
      <c r="AL384" s="7"/>
      <c r="AM384" s="4"/>
      <c r="AN384" s="7"/>
      <c r="AO384" s="7"/>
      <c r="AP384" s="7"/>
      <c r="AQ384" s="4"/>
      <c r="AR384" s="7"/>
      <c r="AS384" s="4"/>
      <c r="AT384" s="7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</row>
    <row r="385" spans="1:63" ht="15.75" customHeight="1">
      <c r="A385" s="3"/>
      <c r="B385" s="3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6"/>
      <c r="AJ385" s="7"/>
      <c r="AK385" s="8"/>
      <c r="AL385" s="7"/>
      <c r="AM385" s="4"/>
      <c r="AN385" s="7"/>
      <c r="AO385" s="7"/>
      <c r="AP385" s="7"/>
      <c r="AQ385" s="4"/>
      <c r="AR385" s="7"/>
      <c r="AS385" s="4"/>
      <c r="AT385" s="7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</row>
    <row r="386" spans="1:63" ht="15.75" customHeight="1">
      <c r="A386" s="3"/>
      <c r="B386" s="3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6"/>
      <c r="AJ386" s="7"/>
      <c r="AK386" s="8"/>
      <c r="AL386" s="7"/>
      <c r="AM386" s="4"/>
      <c r="AN386" s="7"/>
      <c r="AO386" s="7"/>
      <c r="AP386" s="7"/>
      <c r="AQ386" s="4"/>
      <c r="AR386" s="7"/>
      <c r="AS386" s="4"/>
      <c r="AT386" s="7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</row>
    <row r="387" spans="1:63" ht="15.75" customHeight="1">
      <c r="A387" s="3"/>
      <c r="B387" s="3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6"/>
      <c r="AJ387" s="7"/>
      <c r="AK387" s="8"/>
      <c r="AL387" s="7"/>
      <c r="AM387" s="4"/>
      <c r="AN387" s="7"/>
      <c r="AO387" s="7"/>
      <c r="AP387" s="7"/>
      <c r="AQ387" s="4"/>
      <c r="AR387" s="7"/>
      <c r="AS387" s="4"/>
      <c r="AT387" s="7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</row>
    <row r="388" spans="1:63" ht="15.75" customHeight="1">
      <c r="A388" s="3"/>
      <c r="B388" s="3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6"/>
      <c r="AJ388" s="7"/>
      <c r="AK388" s="8"/>
      <c r="AL388" s="7"/>
      <c r="AM388" s="4"/>
      <c r="AN388" s="7"/>
      <c r="AO388" s="7"/>
      <c r="AP388" s="7"/>
      <c r="AQ388" s="4"/>
      <c r="AR388" s="7"/>
      <c r="AS388" s="4"/>
      <c r="AT388" s="7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</row>
    <row r="389" spans="1:63" ht="15.75" customHeight="1">
      <c r="A389" s="3"/>
      <c r="B389" s="3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6"/>
      <c r="AJ389" s="7"/>
      <c r="AK389" s="8"/>
      <c r="AL389" s="7"/>
      <c r="AM389" s="4"/>
      <c r="AN389" s="7"/>
      <c r="AO389" s="7"/>
      <c r="AP389" s="7"/>
      <c r="AQ389" s="4"/>
      <c r="AR389" s="7"/>
      <c r="AS389" s="4"/>
      <c r="AT389" s="7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</row>
    <row r="390" spans="1:63" ht="15.75" customHeight="1">
      <c r="A390" s="3"/>
      <c r="B390" s="3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6"/>
      <c r="AJ390" s="7"/>
      <c r="AK390" s="8"/>
      <c r="AL390" s="7"/>
      <c r="AM390" s="4"/>
      <c r="AN390" s="7"/>
      <c r="AO390" s="7"/>
      <c r="AP390" s="7"/>
      <c r="AQ390" s="4"/>
      <c r="AR390" s="7"/>
      <c r="AS390" s="4"/>
      <c r="AT390" s="7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</row>
    <row r="391" spans="1:63" ht="15.75" customHeight="1">
      <c r="A391" s="3"/>
      <c r="B391" s="3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6"/>
      <c r="AJ391" s="7"/>
      <c r="AK391" s="8"/>
      <c r="AL391" s="7"/>
      <c r="AM391" s="4"/>
      <c r="AN391" s="7"/>
      <c r="AO391" s="7"/>
      <c r="AP391" s="7"/>
      <c r="AQ391" s="4"/>
      <c r="AR391" s="7"/>
      <c r="AS391" s="4"/>
      <c r="AT391" s="7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</row>
    <row r="392" spans="1:63" ht="15.75" customHeight="1">
      <c r="A392" s="3"/>
      <c r="B392" s="3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6"/>
      <c r="AJ392" s="7"/>
      <c r="AK392" s="8"/>
      <c r="AL392" s="7"/>
      <c r="AM392" s="4"/>
      <c r="AN392" s="7"/>
      <c r="AO392" s="7"/>
      <c r="AP392" s="7"/>
      <c r="AQ392" s="4"/>
      <c r="AR392" s="7"/>
      <c r="AS392" s="4"/>
      <c r="AT392" s="7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</row>
    <row r="393" spans="1:63" ht="15.75" customHeight="1">
      <c r="A393" s="3"/>
      <c r="B393" s="3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6"/>
      <c r="AJ393" s="7"/>
      <c r="AK393" s="8"/>
      <c r="AL393" s="7"/>
      <c r="AM393" s="4"/>
      <c r="AN393" s="7"/>
      <c r="AO393" s="7"/>
      <c r="AP393" s="7"/>
      <c r="AQ393" s="4"/>
      <c r="AR393" s="7"/>
      <c r="AS393" s="4"/>
      <c r="AT393" s="7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</row>
    <row r="394" spans="1:63" ht="15.75" customHeight="1">
      <c r="A394" s="3"/>
      <c r="B394" s="3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6"/>
      <c r="AJ394" s="7"/>
      <c r="AK394" s="8"/>
      <c r="AL394" s="7"/>
      <c r="AM394" s="4"/>
      <c r="AN394" s="7"/>
      <c r="AO394" s="7"/>
      <c r="AP394" s="7"/>
      <c r="AQ394" s="4"/>
      <c r="AR394" s="7"/>
      <c r="AS394" s="4"/>
      <c r="AT394" s="7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</row>
    <row r="395" spans="1:63" ht="15.75" customHeight="1">
      <c r="A395" s="3"/>
      <c r="B395" s="3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6"/>
      <c r="AJ395" s="7"/>
      <c r="AK395" s="8"/>
      <c r="AL395" s="7"/>
      <c r="AM395" s="4"/>
      <c r="AN395" s="7"/>
      <c r="AO395" s="7"/>
      <c r="AP395" s="7"/>
      <c r="AQ395" s="4"/>
      <c r="AR395" s="7"/>
      <c r="AS395" s="4"/>
      <c r="AT395" s="7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</row>
    <row r="396" spans="1:63" ht="15.75" customHeight="1">
      <c r="A396" s="3"/>
      <c r="B396" s="3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6"/>
      <c r="AJ396" s="7"/>
      <c r="AK396" s="8"/>
      <c r="AL396" s="7"/>
      <c r="AM396" s="4"/>
      <c r="AN396" s="7"/>
      <c r="AO396" s="7"/>
      <c r="AP396" s="7"/>
      <c r="AQ396" s="4"/>
      <c r="AR396" s="7"/>
      <c r="AS396" s="4"/>
      <c r="AT396" s="7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</row>
    <row r="397" spans="1:63" ht="15.75" customHeight="1">
      <c r="A397" s="3"/>
      <c r="B397" s="3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6"/>
      <c r="AJ397" s="7"/>
      <c r="AK397" s="8"/>
      <c r="AL397" s="7"/>
      <c r="AM397" s="4"/>
      <c r="AN397" s="7"/>
      <c r="AO397" s="7"/>
      <c r="AP397" s="7"/>
      <c r="AQ397" s="4"/>
      <c r="AR397" s="7"/>
      <c r="AS397" s="4"/>
      <c r="AT397" s="7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</row>
    <row r="398" spans="1:63" ht="15.75" customHeight="1">
      <c r="A398" s="3"/>
      <c r="B398" s="3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6"/>
      <c r="AJ398" s="7"/>
      <c r="AK398" s="8"/>
      <c r="AL398" s="7"/>
      <c r="AM398" s="4"/>
      <c r="AN398" s="7"/>
      <c r="AO398" s="7"/>
      <c r="AP398" s="7"/>
      <c r="AQ398" s="4"/>
      <c r="AR398" s="7"/>
      <c r="AS398" s="4"/>
      <c r="AT398" s="7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</row>
    <row r="399" spans="1:63" ht="15.75" customHeight="1">
      <c r="A399" s="3"/>
      <c r="B399" s="3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6"/>
      <c r="AJ399" s="7"/>
      <c r="AK399" s="8"/>
      <c r="AL399" s="7"/>
      <c r="AM399" s="4"/>
      <c r="AN399" s="7"/>
      <c r="AO399" s="7"/>
      <c r="AP399" s="7"/>
      <c r="AQ399" s="4"/>
      <c r="AR399" s="7"/>
      <c r="AS399" s="4"/>
      <c r="AT399" s="7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</row>
    <row r="400" spans="1:63" ht="15.75" customHeight="1">
      <c r="A400" s="3"/>
      <c r="B400" s="3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6"/>
      <c r="AJ400" s="7"/>
      <c r="AK400" s="8"/>
      <c r="AL400" s="7"/>
      <c r="AM400" s="4"/>
      <c r="AN400" s="7"/>
      <c r="AO400" s="7"/>
      <c r="AP400" s="7"/>
      <c r="AQ400" s="4"/>
      <c r="AR400" s="7"/>
      <c r="AS400" s="4"/>
      <c r="AT400" s="7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</row>
    <row r="401" spans="1:63" ht="15.75" customHeight="1">
      <c r="A401" s="3"/>
      <c r="B401" s="3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6"/>
      <c r="AJ401" s="7"/>
      <c r="AK401" s="8"/>
      <c r="AL401" s="7"/>
      <c r="AM401" s="4"/>
      <c r="AN401" s="7"/>
      <c r="AO401" s="7"/>
      <c r="AP401" s="7"/>
      <c r="AQ401" s="4"/>
      <c r="AR401" s="7"/>
      <c r="AS401" s="4"/>
      <c r="AT401" s="7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</row>
    <row r="402" spans="1:63" ht="15.75" customHeight="1">
      <c r="A402" s="3"/>
      <c r="B402" s="3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6"/>
      <c r="AJ402" s="7"/>
      <c r="AK402" s="8"/>
      <c r="AL402" s="7"/>
      <c r="AM402" s="4"/>
      <c r="AN402" s="7"/>
      <c r="AO402" s="7"/>
      <c r="AP402" s="7"/>
      <c r="AQ402" s="4"/>
      <c r="AR402" s="7"/>
      <c r="AS402" s="4"/>
      <c r="AT402" s="7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</row>
    <row r="403" spans="1:63" ht="15.75" customHeight="1">
      <c r="A403" s="3"/>
      <c r="B403" s="3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6"/>
      <c r="AJ403" s="7"/>
      <c r="AK403" s="8"/>
      <c r="AL403" s="7"/>
      <c r="AM403" s="4"/>
      <c r="AN403" s="7"/>
      <c r="AO403" s="7"/>
      <c r="AP403" s="7"/>
      <c r="AQ403" s="4"/>
      <c r="AR403" s="7"/>
      <c r="AS403" s="4"/>
      <c r="AT403" s="7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</row>
    <row r="404" spans="1:63" ht="15.75" customHeight="1">
      <c r="A404" s="3"/>
      <c r="B404" s="3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6"/>
      <c r="AJ404" s="7"/>
      <c r="AK404" s="8"/>
      <c r="AL404" s="7"/>
      <c r="AM404" s="4"/>
      <c r="AN404" s="7"/>
      <c r="AO404" s="7"/>
      <c r="AP404" s="7"/>
      <c r="AQ404" s="4"/>
      <c r="AR404" s="7"/>
      <c r="AS404" s="4"/>
      <c r="AT404" s="7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</row>
    <row r="405" spans="1:63" ht="15.75" customHeight="1">
      <c r="A405" s="3"/>
      <c r="B405" s="3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6"/>
      <c r="AJ405" s="7"/>
      <c r="AK405" s="8"/>
      <c r="AL405" s="7"/>
      <c r="AM405" s="4"/>
      <c r="AN405" s="7"/>
      <c r="AO405" s="7"/>
      <c r="AP405" s="7"/>
      <c r="AQ405" s="4"/>
      <c r="AR405" s="7"/>
      <c r="AS405" s="4"/>
      <c r="AT405" s="7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</row>
    <row r="406" spans="1:63" ht="15.75" customHeight="1">
      <c r="A406" s="3"/>
      <c r="B406" s="3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6"/>
      <c r="AJ406" s="7"/>
      <c r="AK406" s="8"/>
      <c r="AL406" s="7"/>
      <c r="AM406" s="4"/>
      <c r="AN406" s="7"/>
      <c r="AO406" s="7"/>
      <c r="AP406" s="7"/>
      <c r="AQ406" s="4"/>
      <c r="AR406" s="7"/>
      <c r="AS406" s="4"/>
      <c r="AT406" s="7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</row>
    <row r="407" spans="1:63" ht="15.75" customHeight="1">
      <c r="A407" s="3"/>
      <c r="B407" s="3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6"/>
      <c r="AJ407" s="7"/>
      <c r="AK407" s="8"/>
      <c r="AL407" s="7"/>
      <c r="AM407" s="4"/>
      <c r="AN407" s="7"/>
      <c r="AO407" s="7"/>
      <c r="AP407" s="7"/>
      <c r="AQ407" s="4"/>
      <c r="AR407" s="7"/>
      <c r="AS407" s="4"/>
      <c r="AT407" s="7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</row>
    <row r="408" spans="1:63" ht="15.75" customHeight="1">
      <c r="A408" s="3"/>
      <c r="B408" s="3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6"/>
      <c r="AJ408" s="7"/>
      <c r="AK408" s="8"/>
      <c r="AL408" s="7"/>
      <c r="AM408" s="4"/>
      <c r="AN408" s="7"/>
      <c r="AO408" s="7"/>
      <c r="AP408" s="7"/>
      <c r="AQ408" s="4"/>
      <c r="AR408" s="7"/>
      <c r="AS408" s="4"/>
      <c r="AT408" s="7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</row>
    <row r="409" spans="1:63" ht="15.75" customHeight="1">
      <c r="A409" s="3"/>
      <c r="B409" s="3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6"/>
      <c r="AJ409" s="7"/>
      <c r="AK409" s="8"/>
      <c r="AL409" s="7"/>
      <c r="AM409" s="4"/>
      <c r="AN409" s="7"/>
      <c r="AO409" s="7"/>
      <c r="AP409" s="7"/>
      <c r="AQ409" s="4"/>
      <c r="AR409" s="7"/>
      <c r="AS409" s="4"/>
      <c r="AT409" s="7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</row>
    <row r="410" spans="1:63" ht="15.75" customHeight="1">
      <c r="A410" s="3"/>
      <c r="B410" s="3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6"/>
      <c r="AJ410" s="7"/>
      <c r="AK410" s="8"/>
      <c r="AL410" s="7"/>
      <c r="AM410" s="4"/>
      <c r="AN410" s="7"/>
      <c r="AO410" s="7"/>
      <c r="AP410" s="7"/>
      <c r="AQ410" s="4"/>
      <c r="AR410" s="7"/>
      <c r="AS410" s="4"/>
      <c r="AT410" s="7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</row>
    <row r="411" spans="1:63" ht="15.75" customHeight="1">
      <c r="A411" s="3"/>
      <c r="B411" s="3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6"/>
      <c r="AJ411" s="7"/>
      <c r="AK411" s="8"/>
      <c r="AL411" s="7"/>
      <c r="AM411" s="4"/>
      <c r="AN411" s="7"/>
      <c r="AO411" s="7"/>
      <c r="AP411" s="7"/>
      <c r="AQ411" s="4"/>
      <c r="AR411" s="7"/>
      <c r="AS411" s="4"/>
      <c r="AT411" s="7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</row>
    <row r="412" spans="1:63" ht="15.75" customHeight="1">
      <c r="A412" s="3"/>
      <c r="B412" s="3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6"/>
      <c r="AJ412" s="7"/>
      <c r="AK412" s="8"/>
      <c r="AL412" s="7"/>
      <c r="AM412" s="4"/>
      <c r="AN412" s="7"/>
      <c r="AO412" s="7"/>
      <c r="AP412" s="7"/>
      <c r="AQ412" s="4"/>
      <c r="AR412" s="7"/>
      <c r="AS412" s="4"/>
      <c r="AT412" s="7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</row>
    <row r="413" spans="1:63" ht="15.75" customHeight="1">
      <c r="A413" s="3"/>
      <c r="B413" s="3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6"/>
      <c r="AJ413" s="7"/>
      <c r="AK413" s="8"/>
      <c r="AL413" s="7"/>
      <c r="AM413" s="4"/>
      <c r="AN413" s="7"/>
      <c r="AO413" s="7"/>
      <c r="AP413" s="7"/>
      <c r="AQ413" s="4"/>
      <c r="AR413" s="7"/>
      <c r="AS413" s="4"/>
      <c r="AT413" s="7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</row>
    <row r="414" spans="1:63" ht="15.75" customHeight="1">
      <c r="A414" s="3"/>
      <c r="B414" s="3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6"/>
      <c r="AJ414" s="7"/>
      <c r="AK414" s="8"/>
      <c r="AL414" s="7"/>
      <c r="AM414" s="4"/>
      <c r="AN414" s="7"/>
      <c r="AO414" s="7"/>
      <c r="AP414" s="7"/>
      <c r="AQ414" s="4"/>
      <c r="AR414" s="7"/>
      <c r="AS414" s="4"/>
      <c r="AT414" s="7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</row>
    <row r="415" spans="1:63" ht="15.75" customHeight="1">
      <c r="A415" s="3"/>
      <c r="B415" s="3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6"/>
      <c r="AJ415" s="7"/>
      <c r="AK415" s="8"/>
      <c r="AL415" s="7"/>
      <c r="AM415" s="4"/>
      <c r="AN415" s="7"/>
      <c r="AO415" s="7"/>
      <c r="AP415" s="7"/>
      <c r="AQ415" s="4"/>
      <c r="AR415" s="7"/>
      <c r="AS415" s="4"/>
      <c r="AT415" s="7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</row>
    <row r="416" spans="1:63" ht="15.75" customHeight="1">
      <c r="A416" s="3"/>
      <c r="B416" s="3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6"/>
      <c r="AJ416" s="7"/>
      <c r="AK416" s="8"/>
      <c r="AL416" s="7"/>
      <c r="AM416" s="4"/>
      <c r="AN416" s="7"/>
      <c r="AO416" s="7"/>
      <c r="AP416" s="7"/>
      <c r="AQ416" s="4"/>
      <c r="AR416" s="7"/>
      <c r="AS416" s="4"/>
      <c r="AT416" s="7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</row>
    <row r="417" spans="1:63" ht="15.75" customHeight="1">
      <c r="A417" s="3"/>
      <c r="B417" s="3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6"/>
      <c r="AJ417" s="7"/>
      <c r="AK417" s="8"/>
      <c r="AL417" s="7"/>
      <c r="AM417" s="4"/>
      <c r="AN417" s="7"/>
      <c r="AO417" s="7"/>
      <c r="AP417" s="7"/>
      <c r="AQ417" s="4"/>
      <c r="AR417" s="7"/>
      <c r="AS417" s="4"/>
      <c r="AT417" s="7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</row>
    <row r="418" spans="1:63" ht="15.75" customHeight="1">
      <c r="A418" s="3"/>
      <c r="B418" s="3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6"/>
      <c r="AJ418" s="7"/>
      <c r="AK418" s="8"/>
      <c r="AL418" s="7"/>
      <c r="AM418" s="4"/>
      <c r="AN418" s="7"/>
      <c r="AO418" s="7"/>
      <c r="AP418" s="7"/>
      <c r="AQ418" s="4"/>
      <c r="AR418" s="7"/>
      <c r="AS418" s="4"/>
      <c r="AT418" s="7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</row>
    <row r="419" spans="1:63" ht="15.75" customHeight="1">
      <c r="A419" s="3"/>
      <c r="B419" s="3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6"/>
      <c r="AJ419" s="7"/>
      <c r="AK419" s="8"/>
      <c r="AL419" s="7"/>
      <c r="AM419" s="4"/>
      <c r="AN419" s="7"/>
      <c r="AO419" s="7"/>
      <c r="AP419" s="7"/>
      <c r="AQ419" s="4"/>
      <c r="AR419" s="7"/>
      <c r="AS419" s="4"/>
      <c r="AT419" s="7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</row>
    <row r="420" spans="1:63" ht="15.75" customHeight="1">
      <c r="A420" s="3"/>
      <c r="B420" s="3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6"/>
      <c r="AJ420" s="7"/>
      <c r="AK420" s="8"/>
      <c r="AL420" s="7"/>
      <c r="AM420" s="4"/>
      <c r="AN420" s="7"/>
      <c r="AO420" s="7"/>
      <c r="AP420" s="7"/>
      <c r="AQ420" s="4"/>
      <c r="AR420" s="7"/>
      <c r="AS420" s="4"/>
      <c r="AT420" s="7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</row>
    <row r="421" spans="1:63" ht="15.75" customHeight="1">
      <c r="A421" s="3"/>
      <c r="B421" s="3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6"/>
      <c r="AJ421" s="7"/>
      <c r="AK421" s="8"/>
      <c r="AL421" s="7"/>
      <c r="AM421" s="4"/>
      <c r="AN421" s="7"/>
      <c r="AO421" s="7"/>
      <c r="AP421" s="7"/>
      <c r="AQ421" s="4"/>
      <c r="AR421" s="7"/>
      <c r="AS421" s="4"/>
      <c r="AT421" s="7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</row>
    <row r="422" spans="1:63" ht="15.75" customHeight="1">
      <c r="A422" s="3"/>
      <c r="B422" s="3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6"/>
      <c r="AJ422" s="7"/>
      <c r="AK422" s="8"/>
      <c r="AL422" s="7"/>
      <c r="AM422" s="4"/>
      <c r="AN422" s="7"/>
      <c r="AO422" s="7"/>
      <c r="AP422" s="7"/>
      <c r="AQ422" s="4"/>
      <c r="AR422" s="7"/>
      <c r="AS422" s="4"/>
      <c r="AT422" s="7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</row>
    <row r="423" spans="1:63" ht="15.75" customHeight="1">
      <c r="A423" s="3"/>
      <c r="B423" s="3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6"/>
      <c r="AJ423" s="7"/>
      <c r="AK423" s="8"/>
      <c r="AL423" s="7"/>
      <c r="AM423" s="4"/>
      <c r="AN423" s="7"/>
      <c r="AO423" s="7"/>
      <c r="AP423" s="7"/>
      <c r="AQ423" s="4"/>
      <c r="AR423" s="7"/>
      <c r="AS423" s="4"/>
      <c r="AT423" s="7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</row>
    <row r="424" spans="1:63" ht="15.75" customHeight="1">
      <c r="A424" s="3"/>
      <c r="B424" s="3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6"/>
      <c r="AJ424" s="7"/>
      <c r="AK424" s="8"/>
      <c r="AL424" s="7"/>
      <c r="AM424" s="4"/>
      <c r="AN424" s="7"/>
      <c r="AO424" s="7"/>
      <c r="AP424" s="7"/>
      <c r="AQ424" s="4"/>
      <c r="AR424" s="7"/>
      <c r="AS424" s="4"/>
      <c r="AT424" s="7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</row>
    <row r="425" spans="1:63" ht="15.75" customHeight="1">
      <c r="A425" s="3"/>
      <c r="B425" s="3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6"/>
      <c r="AJ425" s="7"/>
      <c r="AK425" s="8"/>
      <c r="AL425" s="7"/>
      <c r="AM425" s="4"/>
      <c r="AN425" s="7"/>
      <c r="AO425" s="7"/>
      <c r="AP425" s="7"/>
      <c r="AQ425" s="4"/>
      <c r="AR425" s="7"/>
      <c r="AS425" s="4"/>
      <c r="AT425" s="7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</row>
    <row r="426" spans="1:63" ht="15.75" customHeight="1">
      <c r="A426" s="3"/>
      <c r="B426" s="3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6"/>
      <c r="AJ426" s="7"/>
      <c r="AK426" s="8"/>
      <c r="AL426" s="7"/>
      <c r="AM426" s="4"/>
      <c r="AN426" s="7"/>
      <c r="AO426" s="7"/>
      <c r="AP426" s="7"/>
      <c r="AQ426" s="4"/>
      <c r="AR426" s="7"/>
      <c r="AS426" s="4"/>
      <c r="AT426" s="7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</row>
    <row r="427" spans="1:63" ht="15.75" customHeight="1">
      <c r="A427" s="3"/>
      <c r="B427" s="3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6"/>
      <c r="AJ427" s="7"/>
      <c r="AK427" s="8"/>
      <c r="AL427" s="7"/>
      <c r="AM427" s="4"/>
      <c r="AN427" s="7"/>
      <c r="AO427" s="7"/>
      <c r="AP427" s="7"/>
      <c r="AQ427" s="4"/>
      <c r="AR427" s="7"/>
      <c r="AS427" s="4"/>
      <c r="AT427" s="7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</row>
    <row r="428" spans="1:63" ht="15.75" customHeight="1">
      <c r="A428" s="3"/>
      <c r="B428" s="3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6"/>
      <c r="AJ428" s="7"/>
      <c r="AK428" s="8"/>
      <c r="AL428" s="7"/>
      <c r="AM428" s="4"/>
      <c r="AN428" s="7"/>
      <c r="AO428" s="7"/>
      <c r="AP428" s="7"/>
      <c r="AQ428" s="4"/>
      <c r="AR428" s="7"/>
      <c r="AS428" s="4"/>
      <c r="AT428" s="7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</row>
    <row r="429" spans="1:63" ht="15.75" customHeight="1">
      <c r="A429" s="3"/>
      <c r="B429" s="3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6"/>
      <c r="AJ429" s="7"/>
      <c r="AK429" s="8"/>
      <c r="AL429" s="7"/>
      <c r="AM429" s="4"/>
      <c r="AN429" s="7"/>
      <c r="AO429" s="7"/>
      <c r="AP429" s="7"/>
      <c r="AQ429" s="4"/>
      <c r="AR429" s="7"/>
      <c r="AS429" s="4"/>
      <c r="AT429" s="7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</row>
    <row r="430" spans="1:63" ht="15.75" customHeight="1">
      <c r="A430" s="3"/>
      <c r="B430" s="3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6"/>
      <c r="AJ430" s="7"/>
      <c r="AK430" s="8"/>
      <c r="AL430" s="7"/>
      <c r="AM430" s="4"/>
      <c r="AN430" s="7"/>
      <c r="AO430" s="7"/>
      <c r="AP430" s="7"/>
      <c r="AQ430" s="4"/>
      <c r="AR430" s="7"/>
      <c r="AS430" s="4"/>
      <c r="AT430" s="7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</row>
    <row r="431" spans="1:63" ht="15.75" customHeight="1">
      <c r="A431" s="3"/>
      <c r="B431" s="3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6"/>
      <c r="AJ431" s="7"/>
      <c r="AK431" s="8"/>
      <c r="AL431" s="7"/>
      <c r="AM431" s="4"/>
      <c r="AN431" s="7"/>
      <c r="AO431" s="7"/>
      <c r="AP431" s="7"/>
      <c r="AQ431" s="4"/>
      <c r="AR431" s="7"/>
      <c r="AS431" s="4"/>
      <c r="AT431" s="7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</row>
    <row r="432" spans="1:63" ht="15.75" customHeight="1">
      <c r="A432" s="3"/>
      <c r="B432" s="3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6"/>
      <c r="AJ432" s="7"/>
      <c r="AK432" s="8"/>
      <c r="AL432" s="7"/>
      <c r="AM432" s="4"/>
      <c r="AN432" s="7"/>
      <c r="AO432" s="7"/>
      <c r="AP432" s="7"/>
      <c r="AQ432" s="4"/>
      <c r="AR432" s="7"/>
      <c r="AS432" s="4"/>
      <c r="AT432" s="7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</row>
    <row r="433" spans="1:63" ht="15.75" customHeight="1">
      <c r="A433" s="3"/>
      <c r="B433" s="3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6"/>
      <c r="AJ433" s="7"/>
      <c r="AK433" s="8"/>
      <c r="AL433" s="7"/>
      <c r="AM433" s="4"/>
      <c r="AN433" s="7"/>
      <c r="AO433" s="7"/>
      <c r="AP433" s="7"/>
      <c r="AQ433" s="4"/>
      <c r="AR433" s="7"/>
      <c r="AS433" s="4"/>
      <c r="AT433" s="7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</row>
    <row r="434" spans="1:63" ht="15.75" customHeight="1">
      <c r="A434" s="3"/>
      <c r="B434" s="3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6"/>
      <c r="AJ434" s="7"/>
      <c r="AK434" s="8"/>
      <c r="AL434" s="7"/>
      <c r="AM434" s="4"/>
      <c r="AN434" s="7"/>
      <c r="AO434" s="7"/>
      <c r="AP434" s="7"/>
      <c r="AQ434" s="4"/>
      <c r="AR434" s="7"/>
      <c r="AS434" s="4"/>
      <c r="AT434" s="7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</row>
    <row r="435" spans="1:63" ht="15.75" customHeight="1">
      <c r="A435" s="3"/>
      <c r="B435" s="3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6"/>
      <c r="AJ435" s="7"/>
      <c r="AK435" s="8"/>
      <c r="AL435" s="7"/>
      <c r="AM435" s="4"/>
      <c r="AN435" s="7"/>
      <c r="AO435" s="7"/>
      <c r="AP435" s="7"/>
      <c r="AQ435" s="4"/>
      <c r="AR435" s="7"/>
      <c r="AS435" s="4"/>
      <c r="AT435" s="7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</row>
    <row r="436" spans="1:63" ht="15.75" customHeight="1">
      <c r="A436" s="3"/>
      <c r="B436" s="3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6"/>
      <c r="AJ436" s="7"/>
      <c r="AK436" s="8"/>
      <c r="AL436" s="7"/>
      <c r="AM436" s="4"/>
      <c r="AN436" s="7"/>
      <c r="AO436" s="7"/>
      <c r="AP436" s="7"/>
      <c r="AQ436" s="4"/>
      <c r="AR436" s="7"/>
      <c r="AS436" s="4"/>
      <c r="AT436" s="7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</row>
    <row r="437" spans="1:63" ht="15.75" customHeight="1">
      <c r="A437" s="3"/>
      <c r="B437" s="3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6"/>
      <c r="AJ437" s="7"/>
      <c r="AK437" s="8"/>
      <c r="AL437" s="7"/>
      <c r="AM437" s="4"/>
      <c r="AN437" s="7"/>
      <c r="AO437" s="7"/>
      <c r="AP437" s="7"/>
      <c r="AQ437" s="4"/>
      <c r="AR437" s="7"/>
      <c r="AS437" s="4"/>
      <c r="AT437" s="7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</row>
    <row r="438" spans="1:63" ht="15.75" customHeight="1">
      <c r="A438" s="3"/>
      <c r="B438" s="3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6"/>
      <c r="AJ438" s="7"/>
      <c r="AK438" s="8"/>
      <c r="AL438" s="7"/>
      <c r="AM438" s="4"/>
      <c r="AN438" s="7"/>
      <c r="AO438" s="7"/>
      <c r="AP438" s="7"/>
      <c r="AQ438" s="4"/>
      <c r="AR438" s="7"/>
      <c r="AS438" s="4"/>
      <c r="AT438" s="7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</row>
    <row r="439" spans="1:63" ht="15.75" customHeight="1">
      <c r="A439" s="3"/>
      <c r="B439" s="3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6"/>
      <c r="AJ439" s="7"/>
      <c r="AK439" s="8"/>
      <c r="AL439" s="7"/>
      <c r="AM439" s="4"/>
      <c r="AN439" s="7"/>
      <c r="AO439" s="7"/>
      <c r="AP439" s="7"/>
      <c r="AQ439" s="4"/>
      <c r="AR439" s="7"/>
      <c r="AS439" s="4"/>
      <c r="AT439" s="7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</row>
    <row r="440" spans="1:63" ht="15.75" customHeight="1">
      <c r="A440" s="3"/>
      <c r="B440" s="3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6"/>
      <c r="AJ440" s="7"/>
      <c r="AK440" s="8"/>
      <c r="AL440" s="7"/>
      <c r="AM440" s="4"/>
      <c r="AN440" s="7"/>
      <c r="AO440" s="7"/>
      <c r="AP440" s="7"/>
      <c r="AQ440" s="4"/>
      <c r="AR440" s="7"/>
      <c r="AS440" s="4"/>
      <c r="AT440" s="7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</row>
    <row r="441" spans="1:63" ht="15.75" customHeight="1">
      <c r="A441" s="3"/>
      <c r="B441" s="3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6"/>
      <c r="AJ441" s="7"/>
      <c r="AK441" s="8"/>
      <c r="AL441" s="7"/>
      <c r="AM441" s="4"/>
      <c r="AN441" s="7"/>
      <c r="AO441" s="7"/>
      <c r="AP441" s="7"/>
      <c r="AQ441" s="4"/>
      <c r="AR441" s="7"/>
      <c r="AS441" s="4"/>
      <c r="AT441" s="7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</row>
    <row r="442" spans="1:63" ht="15.75" customHeight="1">
      <c r="A442" s="3"/>
      <c r="B442" s="3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6"/>
      <c r="AJ442" s="7"/>
      <c r="AK442" s="8"/>
      <c r="AL442" s="7"/>
      <c r="AM442" s="4"/>
      <c r="AN442" s="7"/>
      <c r="AO442" s="7"/>
      <c r="AP442" s="7"/>
      <c r="AQ442" s="4"/>
      <c r="AR442" s="7"/>
      <c r="AS442" s="4"/>
      <c r="AT442" s="7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</row>
    <row r="443" spans="1:63" ht="15.75" customHeight="1">
      <c r="A443" s="3"/>
      <c r="B443" s="3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6"/>
      <c r="AJ443" s="7"/>
      <c r="AK443" s="8"/>
      <c r="AL443" s="7"/>
      <c r="AM443" s="4"/>
      <c r="AN443" s="7"/>
      <c r="AO443" s="7"/>
      <c r="AP443" s="7"/>
      <c r="AQ443" s="4"/>
      <c r="AR443" s="7"/>
      <c r="AS443" s="4"/>
      <c r="AT443" s="7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</row>
    <row r="444" spans="1:63" ht="15.75" customHeight="1">
      <c r="A444" s="3"/>
      <c r="B444" s="3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6"/>
      <c r="AJ444" s="7"/>
      <c r="AK444" s="8"/>
      <c r="AL444" s="7"/>
      <c r="AM444" s="4"/>
      <c r="AN444" s="7"/>
      <c r="AO444" s="7"/>
      <c r="AP444" s="7"/>
      <c r="AQ444" s="4"/>
      <c r="AR444" s="7"/>
      <c r="AS444" s="4"/>
      <c r="AT444" s="7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</row>
    <row r="445" spans="1:63" ht="15.75" customHeight="1">
      <c r="A445" s="3"/>
      <c r="B445" s="3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6"/>
      <c r="AJ445" s="7"/>
      <c r="AK445" s="8"/>
      <c r="AL445" s="7"/>
      <c r="AM445" s="4"/>
      <c r="AN445" s="7"/>
      <c r="AO445" s="7"/>
      <c r="AP445" s="7"/>
      <c r="AQ445" s="4"/>
      <c r="AR445" s="7"/>
      <c r="AS445" s="4"/>
      <c r="AT445" s="7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</row>
    <row r="446" spans="1:63" ht="15.75" customHeight="1">
      <c r="A446" s="3"/>
      <c r="B446" s="3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6"/>
      <c r="AJ446" s="7"/>
      <c r="AK446" s="8"/>
      <c r="AL446" s="7"/>
      <c r="AM446" s="4"/>
      <c r="AN446" s="7"/>
      <c r="AO446" s="7"/>
      <c r="AP446" s="7"/>
      <c r="AQ446" s="4"/>
      <c r="AR446" s="7"/>
      <c r="AS446" s="4"/>
      <c r="AT446" s="7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</row>
    <row r="447" spans="1:63" ht="15.75" customHeight="1">
      <c r="A447" s="3"/>
      <c r="B447" s="3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6"/>
      <c r="AJ447" s="7"/>
      <c r="AK447" s="8"/>
      <c r="AL447" s="7"/>
      <c r="AM447" s="4"/>
      <c r="AN447" s="7"/>
      <c r="AO447" s="7"/>
      <c r="AP447" s="7"/>
      <c r="AQ447" s="4"/>
      <c r="AR447" s="7"/>
      <c r="AS447" s="4"/>
      <c r="AT447" s="7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</row>
    <row r="448" spans="1:63" ht="15.75" customHeight="1">
      <c r="A448" s="3"/>
      <c r="B448" s="3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6"/>
      <c r="AJ448" s="7"/>
      <c r="AK448" s="8"/>
      <c r="AL448" s="7"/>
      <c r="AM448" s="4"/>
      <c r="AN448" s="7"/>
      <c r="AO448" s="7"/>
      <c r="AP448" s="7"/>
      <c r="AQ448" s="4"/>
      <c r="AR448" s="7"/>
      <c r="AS448" s="4"/>
      <c r="AT448" s="7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</row>
    <row r="449" spans="1:63" ht="15.75" customHeight="1">
      <c r="A449" s="3"/>
      <c r="B449" s="3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6"/>
      <c r="AJ449" s="7"/>
      <c r="AK449" s="8"/>
      <c r="AL449" s="7"/>
      <c r="AM449" s="4"/>
      <c r="AN449" s="7"/>
      <c r="AO449" s="7"/>
      <c r="AP449" s="7"/>
      <c r="AQ449" s="4"/>
      <c r="AR449" s="7"/>
      <c r="AS449" s="4"/>
      <c r="AT449" s="7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</row>
    <row r="450" spans="1:63" ht="15.75" customHeight="1">
      <c r="A450" s="3"/>
      <c r="B450" s="3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6"/>
      <c r="AJ450" s="7"/>
      <c r="AK450" s="8"/>
      <c r="AL450" s="7"/>
      <c r="AM450" s="4"/>
      <c r="AN450" s="7"/>
      <c r="AO450" s="7"/>
      <c r="AP450" s="7"/>
      <c r="AQ450" s="4"/>
      <c r="AR450" s="7"/>
      <c r="AS450" s="4"/>
      <c r="AT450" s="7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</row>
    <row r="451" spans="1:63" ht="15.75" customHeight="1">
      <c r="A451" s="3"/>
      <c r="B451" s="3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6"/>
      <c r="AJ451" s="7"/>
      <c r="AK451" s="8"/>
      <c r="AL451" s="7"/>
      <c r="AM451" s="4"/>
      <c r="AN451" s="7"/>
      <c r="AO451" s="7"/>
      <c r="AP451" s="7"/>
      <c r="AQ451" s="4"/>
      <c r="AR451" s="7"/>
      <c r="AS451" s="4"/>
      <c r="AT451" s="7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</row>
    <row r="452" spans="1:63" ht="15.75" customHeight="1">
      <c r="A452" s="3"/>
      <c r="B452" s="3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6"/>
      <c r="AJ452" s="7"/>
      <c r="AK452" s="8"/>
      <c r="AL452" s="7"/>
      <c r="AM452" s="4"/>
      <c r="AN452" s="7"/>
      <c r="AO452" s="7"/>
      <c r="AP452" s="7"/>
      <c r="AQ452" s="4"/>
      <c r="AR452" s="7"/>
      <c r="AS452" s="4"/>
      <c r="AT452" s="7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</row>
    <row r="453" spans="1:63" ht="15.75" customHeight="1">
      <c r="A453" s="3"/>
      <c r="B453" s="3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6"/>
      <c r="AJ453" s="7"/>
      <c r="AK453" s="8"/>
      <c r="AL453" s="7"/>
      <c r="AM453" s="4"/>
      <c r="AN453" s="7"/>
      <c r="AO453" s="7"/>
      <c r="AP453" s="7"/>
      <c r="AQ453" s="4"/>
      <c r="AR453" s="7"/>
      <c r="AS453" s="4"/>
      <c r="AT453" s="7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</row>
    <row r="454" spans="1:63" ht="15.75" customHeight="1">
      <c r="A454" s="3"/>
      <c r="B454" s="3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6"/>
      <c r="AJ454" s="7"/>
      <c r="AK454" s="8"/>
      <c r="AL454" s="7"/>
      <c r="AM454" s="4"/>
      <c r="AN454" s="7"/>
      <c r="AO454" s="7"/>
      <c r="AP454" s="7"/>
      <c r="AQ454" s="4"/>
      <c r="AR454" s="7"/>
      <c r="AS454" s="4"/>
      <c r="AT454" s="7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</row>
    <row r="455" spans="1:63" ht="15.75" customHeight="1">
      <c r="A455" s="3"/>
      <c r="B455" s="3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6"/>
      <c r="AJ455" s="7"/>
      <c r="AK455" s="8"/>
      <c r="AL455" s="7"/>
      <c r="AM455" s="4"/>
      <c r="AN455" s="7"/>
      <c r="AO455" s="7"/>
      <c r="AP455" s="7"/>
      <c r="AQ455" s="4"/>
      <c r="AR455" s="7"/>
      <c r="AS455" s="4"/>
      <c r="AT455" s="7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</row>
    <row r="456" spans="1:63" ht="15.75" customHeight="1">
      <c r="A456" s="3"/>
      <c r="B456" s="3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6"/>
      <c r="AJ456" s="7"/>
      <c r="AK456" s="8"/>
      <c r="AL456" s="7"/>
      <c r="AM456" s="4"/>
      <c r="AN456" s="7"/>
      <c r="AO456" s="7"/>
      <c r="AP456" s="7"/>
      <c r="AQ456" s="4"/>
      <c r="AR456" s="7"/>
      <c r="AS456" s="4"/>
      <c r="AT456" s="7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</row>
    <row r="457" spans="1:63" ht="15.75" customHeight="1">
      <c r="A457" s="3"/>
      <c r="B457" s="3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6"/>
      <c r="AJ457" s="7"/>
      <c r="AK457" s="8"/>
      <c r="AL457" s="7"/>
      <c r="AM457" s="4"/>
      <c r="AN457" s="7"/>
      <c r="AO457" s="7"/>
      <c r="AP457" s="7"/>
      <c r="AQ457" s="4"/>
      <c r="AR457" s="7"/>
      <c r="AS457" s="4"/>
      <c r="AT457" s="7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</row>
    <row r="458" spans="1:63" ht="15.75" customHeight="1">
      <c r="A458" s="3"/>
      <c r="B458" s="3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6"/>
      <c r="AJ458" s="7"/>
      <c r="AK458" s="8"/>
      <c r="AL458" s="7"/>
      <c r="AM458" s="4"/>
      <c r="AN458" s="7"/>
      <c r="AO458" s="7"/>
      <c r="AP458" s="7"/>
      <c r="AQ458" s="4"/>
      <c r="AR458" s="7"/>
      <c r="AS458" s="4"/>
      <c r="AT458" s="7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</row>
    <row r="459" spans="1:63" ht="15.75" customHeight="1">
      <c r="A459" s="3"/>
      <c r="B459" s="3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6"/>
      <c r="AJ459" s="7"/>
      <c r="AK459" s="8"/>
      <c r="AL459" s="7"/>
      <c r="AM459" s="4"/>
      <c r="AN459" s="7"/>
      <c r="AO459" s="7"/>
      <c r="AP459" s="7"/>
      <c r="AQ459" s="4"/>
      <c r="AR459" s="7"/>
      <c r="AS459" s="4"/>
      <c r="AT459" s="7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</row>
    <row r="460" spans="1:63" ht="15.75" customHeight="1">
      <c r="A460" s="3"/>
      <c r="B460" s="3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6"/>
      <c r="AJ460" s="7"/>
      <c r="AK460" s="8"/>
      <c r="AL460" s="7"/>
      <c r="AM460" s="4"/>
      <c r="AN460" s="7"/>
      <c r="AO460" s="7"/>
      <c r="AP460" s="7"/>
      <c r="AQ460" s="4"/>
      <c r="AR460" s="7"/>
      <c r="AS460" s="4"/>
      <c r="AT460" s="7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</row>
    <row r="461" spans="1:63" ht="15.75" customHeight="1">
      <c r="A461" s="3"/>
      <c r="B461" s="3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6"/>
      <c r="AJ461" s="7"/>
      <c r="AK461" s="8"/>
      <c r="AL461" s="7"/>
      <c r="AM461" s="4"/>
      <c r="AN461" s="7"/>
      <c r="AO461" s="7"/>
      <c r="AP461" s="7"/>
      <c r="AQ461" s="4"/>
      <c r="AR461" s="7"/>
      <c r="AS461" s="4"/>
      <c r="AT461" s="7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</row>
    <row r="462" spans="1:63" ht="15.75" customHeight="1">
      <c r="A462" s="3"/>
      <c r="B462" s="3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6"/>
      <c r="AJ462" s="7"/>
      <c r="AK462" s="8"/>
      <c r="AL462" s="7"/>
      <c r="AM462" s="4"/>
      <c r="AN462" s="7"/>
      <c r="AO462" s="7"/>
      <c r="AP462" s="7"/>
      <c r="AQ462" s="4"/>
      <c r="AR462" s="7"/>
      <c r="AS462" s="4"/>
      <c r="AT462" s="7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</row>
    <row r="463" spans="1:63" ht="15.75" customHeight="1">
      <c r="A463" s="3"/>
      <c r="B463" s="3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6"/>
      <c r="AJ463" s="7"/>
      <c r="AK463" s="8"/>
      <c r="AL463" s="7"/>
      <c r="AM463" s="4"/>
      <c r="AN463" s="7"/>
      <c r="AO463" s="7"/>
      <c r="AP463" s="7"/>
      <c r="AQ463" s="4"/>
      <c r="AR463" s="7"/>
      <c r="AS463" s="4"/>
      <c r="AT463" s="7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</row>
    <row r="464" spans="1:63" ht="15.75" customHeight="1">
      <c r="A464" s="3"/>
      <c r="B464" s="3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6"/>
      <c r="AJ464" s="7"/>
      <c r="AK464" s="8"/>
      <c r="AL464" s="7"/>
      <c r="AM464" s="4"/>
      <c r="AN464" s="7"/>
      <c r="AO464" s="7"/>
      <c r="AP464" s="7"/>
      <c r="AQ464" s="4"/>
      <c r="AR464" s="7"/>
      <c r="AS464" s="4"/>
      <c r="AT464" s="7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</row>
    <row r="465" spans="1:63" ht="15.75" customHeight="1">
      <c r="A465" s="3"/>
      <c r="B465" s="3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6"/>
      <c r="AJ465" s="7"/>
      <c r="AK465" s="8"/>
      <c r="AL465" s="7"/>
      <c r="AM465" s="4"/>
      <c r="AN465" s="7"/>
      <c r="AO465" s="7"/>
      <c r="AP465" s="7"/>
      <c r="AQ465" s="4"/>
      <c r="AR465" s="7"/>
      <c r="AS465" s="4"/>
      <c r="AT465" s="7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</row>
    <row r="466" spans="1:63" ht="15.75" customHeight="1">
      <c r="A466" s="3"/>
      <c r="B466" s="3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6"/>
      <c r="AJ466" s="7"/>
      <c r="AK466" s="8"/>
      <c r="AL466" s="7"/>
      <c r="AM466" s="4"/>
      <c r="AN466" s="7"/>
      <c r="AO466" s="7"/>
      <c r="AP466" s="7"/>
      <c r="AQ466" s="4"/>
      <c r="AR466" s="7"/>
      <c r="AS466" s="4"/>
      <c r="AT466" s="7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</row>
    <row r="467" spans="1:63" ht="15.75" customHeight="1">
      <c r="A467" s="3"/>
      <c r="B467" s="3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6"/>
      <c r="AJ467" s="7"/>
      <c r="AK467" s="8"/>
      <c r="AL467" s="7"/>
      <c r="AM467" s="4"/>
      <c r="AN467" s="7"/>
      <c r="AO467" s="7"/>
      <c r="AP467" s="7"/>
      <c r="AQ467" s="4"/>
      <c r="AR467" s="7"/>
      <c r="AS467" s="4"/>
      <c r="AT467" s="7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</row>
    <row r="468" spans="1:63" ht="15.75" customHeight="1">
      <c r="A468" s="3"/>
      <c r="B468" s="3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6"/>
      <c r="AJ468" s="7"/>
      <c r="AK468" s="8"/>
      <c r="AL468" s="7"/>
      <c r="AM468" s="4"/>
      <c r="AN468" s="7"/>
      <c r="AO468" s="7"/>
      <c r="AP468" s="7"/>
      <c r="AQ468" s="4"/>
      <c r="AR468" s="7"/>
      <c r="AS468" s="4"/>
      <c r="AT468" s="7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</row>
    <row r="469" spans="1:63" ht="15.75" customHeight="1">
      <c r="A469" s="3"/>
      <c r="B469" s="3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6"/>
      <c r="AJ469" s="7"/>
      <c r="AK469" s="8"/>
      <c r="AL469" s="7"/>
      <c r="AM469" s="4"/>
      <c r="AN469" s="7"/>
      <c r="AO469" s="7"/>
      <c r="AP469" s="7"/>
      <c r="AQ469" s="4"/>
      <c r="AR469" s="7"/>
      <c r="AS469" s="4"/>
      <c r="AT469" s="7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</row>
    <row r="470" spans="1:63" ht="15.75" customHeight="1">
      <c r="A470" s="3"/>
      <c r="B470" s="3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6"/>
      <c r="AJ470" s="7"/>
      <c r="AK470" s="8"/>
      <c r="AL470" s="7"/>
      <c r="AM470" s="4"/>
      <c r="AN470" s="7"/>
      <c r="AO470" s="7"/>
      <c r="AP470" s="7"/>
      <c r="AQ470" s="4"/>
      <c r="AR470" s="7"/>
      <c r="AS470" s="4"/>
      <c r="AT470" s="7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</row>
    <row r="471" spans="1:63" ht="15.75" customHeight="1">
      <c r="A471" s="3"/>
      <c r="B471" s="3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6"/>
      <c r="AJ471" s="7"/>
      <c r="AK471" s="8"/>
      <c r="AL471" s="7"/>
      <c r="AM471" s="4"/>
      <c r="AN471" s="7"/>
      <c r="AO471" s="7"/>
      <c r="AP471" s="7"/>
      <c r="AQ471" s="4"/>
      <c r="AR471" s="7"/>
      <c r="AS471" s="4"/>
      <c r="AT471" s="7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</row>
    <row r="472" spans="1:63" ht="15.75" customHeight="1">
      <c r="A472" s="3"/>
      <c r="B472" s="3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6"/>
      <c r="AJ472" s="7"/>
      <c r="AK472" s="8"/>
      <c r="AL472" s="7"/>
      <c r="AM472" s="4"/>
      <c r="AN472" s="7"/>
      <c r="AO472" s="7"/>
      <c r="AP472" s="7"/>
      <c r="AQ472" s="4"/>
      <c r="AR472" s="7"/>
      <c r="AS472" s="4"/>
      <c r="AT472" s="7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</row>
    <row r="473" spans="1:63" ht="15.75" customHeight="1">
      <c r="A473" s="3"/>
      <c r="B473" s="3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6"/>
      <c r="AJ473" s="7"/>
      <c r="AK473" s="8"/>
      <c r="AL473" s="7"/>
      <c r="AM473" s="4"/>
      <c r="AN473" s="7"/>
      <c r="AO473" s="7"/>
      <c r="AP473" s="7"/>
      <c r="AQ473" s="4"/>
      <c r="AR473" s="7"/>
      <c r="AS473" s="4"/>
      <c r="AT473" s="7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</row>
    <row r="474" spans="1:63" ht="15.75" customHeight="1">
      <c r="A474" s="3"/>
      <c r="B474" s="3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6"/>
      <c r="AJ474" s="7"/>
      <c r="AK474" s="8"/>
      <c r="AL474" s="7"/>
      <c r="AM474" s="4"/>
      <c r="AN474" s="7"/>
      <c r="AO474" s="7"/>
      <c r="AP474" s="7"/>
      <c r="AQ474" s="4"/>
      <c r="AR474" s="7"/>
      <c r="AS474" s="4"/>
      <c r="AT474" s="7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</row>
    <row r="475" spans="1:63" ht="15.75" customHeight="1">
      <c r="A475" s="3"/>
      <c r="B475" s="3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6"/>
      <c r="AJ475" s="7"/>
      <c r="AK475" s="8"/>
      <c r="AL475" s="7"/>
      <c r="AM475" s="4"/>
      <c r="AN475" s="7"/>
      <c r="AO475" s="7"/>
      <c r="AP475" s="7"/>
      <c r="AQ475" s="4"/>
      <c r="AR475" s="7"/>
      <c r="AS475" s="4"/>
      <c r="AT475" s="7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</row>
    <row r="476" spans="1:63" ht="15.75" customHeight="1">
      <c r="A476" s="3"/>
      <c r="B476" s="3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6"/>
      <c r="AJ476" s="7"/>
      <c r="AK476" s="8"/>
      <c r="AL476" s="7"/>
      <c r="AM476" s="4"/>
      <c r="AN476" s="7"/>
      <c r="AO476" s="7"/>
      <c r="AP476" s="7"/>
      <c r="AQ476" s="4"/>
      <c r="AR476" s="7"/>
      <c r="AS476" s="4"/>
      <c r="AT476" s="7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</row>
    <row r="477" spans="1:63" ht="15.75" customHeight="1">
      <c r="A477" s="3"/>
      <c r="B477" s="3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6"/>
      <c r="AJ477" s="7"/>
      <c r="AK477" s="8"/>
      <c r="AL477" s="7"/>
      <c r="AM477" s="4"/>
      <c r="AN477" s="7"/>
      <c r="AO477" s="7"/>
      <c r="AP477" s="7"/>
      <c r="AQ477" s="4"/>
      <c r="AR477" s="7"/>
      <c r="AS477" s="4"/>
      <c r="AT477" s="7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</row>
    <row r="478" spans="1:63" ht="15.75" customHeight="1">
      <c r="A478" s="3"/>
      <c r="B478" s="3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6"/>
      <c r="AJ478" s="7"/>
      <c r="AK478" s="8"/>
      <c r="AL478" s="7"/>
      <c r="AM478" s="4"/>
      <c r="AN478" s="7"/>
      <c r="AO478" s="7"/>
      <c r="AP478" s="7"/>
      <c r="AQ478" s="4"/>
      <c r="AR478" s="7"/>
      <c r="AS478" s="4"/>
      <c r="AT478" s="7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</row>
    <row r="479" spans="1:63" ht="15.75" customHeight="1">
      <c r="A479" s="3"/>
      <c r="B479" s="3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6"/>
      <c r="AJ479" s="7"/>
      <c r="AK479" s="8"/>
      <c r="AL479" s="7"/>
      <c r="AM479" s="4"/>
      <c r="AN479" s="7"/>
      <c r="AO479" s="7"/>
      <c r="AP479" s="7"/>
      <c r="AQ479" s="4"/>
      <c r="AR479" s="7"/>
      <c r="AS479" s="4"/>
      <c r="AT479" s="7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</row>
    <row r="480" spans="1:63" ht="15.75" customHeight="1">
      <c r="A480" s="3"/>
      <c r="B480" s="3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6"/>
      <c r="AJ480" s="7"/>
      <c r="AK480" s="8"/>
      <c r="AL480" s="7"/>
      <c r="AM480" s="4"/>
      <c r="AN480" s="7"/>
      <c r="AO480" s="7"/>
      <c r="AP480" s="7"/>
      <c r="AQ480" s="4"/>
      <c r="AR480" s="7"/>
      <c r="AS480" s="4"/>
      <c r="AT480" s="7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</row>
    <row r="481" spans="1:63" ht="15.75" customHeight="1">
      <c r="A481" s="3"/>
      <c r="B481" s="3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6"/>
      <c r="AJ481" s="7"/>
      <c r="AK481" s="8"/>
      <c r="AL481" s="7"/>
      <c r="AM481" s="4"/>
      <c r="AN481" s="7"/>
      <c r="AO481" s="7"/>
      <c r="AP481" s="7"/>
      <c r="AQ481" s="4"/>
      <c r="AR481" s="7"/>
      <c r="AS481" s="4"/>
      <c r="AT481" s="7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</row>
    <row r="482" spans="1:63" ht="15.75" customHeight="1">
      <c r="A482" s="3"/>
      <c r="B482" s="3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6"/>
      <c r="AJ482" s="7"/>
      <c r="AK482" s="8"/>
      <c r="AL482" s="7"/>
      <c r="AM482" s="4"/>
      <c r="AN482" s="7"/>
      <c r="AO482" s="7"/>
      <c r="AP482" s="7"/>
      <c r="AQ482" s="4"/>
      <c r="AR482" s="7"/>
      <c r="AS482" s="4"/>
      <c r="AT482" s="7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</row>
    <row r="483" spans="1:63" ht="15.75" customHeight="1">
      <c r="A483" s="3"/>
      <c r="B483" s="3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6"/>
      <c r="AJ483" s="7"/>
      <c r="AK483" s="8"/>
      <c r="AL483" s="7"/>
      <c r="AM483" s="4"/>
      <c r="AN483" s="7"/>
      <c r="AO483" s="7"/>
      <c r="AP483" s="7"/>
      <c r="AQ483" s="4"/>
      <c r="AR483" s="7"/>
      <c r="AS483" s="4"/>
      <c r="AT483" s="7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</row>
    <row r="484" spans="1:63" ht="15.75" customHeight="1">
      <c r="A484" s="3"/>
      <c r="B484" s="3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6"/>
      <c r="AJ484" s="7"/>
      <c r="AK484" s="8"/>
      <c r="AL484" s="7"/>
      <c r="AM484" s="4"/>
      <c r="AN484" s="7"/>
      <c r="AO484" s="7"/>
      <c r="AP484" s="7"/>
      <c r="AQ484" s="4"/>
      <c r="AR484" s="7"/>
      <c r="AS484" s="4"/>
      <c r="AT484" s="7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</row>
    <row r="485" spans="1:63" ht="15.75" customHeight="1">
      <c r="A485" s="3"/>
      <c r="B485" s="3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6"/>
      <c r="AJ485" s="7"/>
      <c r="AK485" s="8"/>
      <c r="AL485" s="7"/>
      <c r="AM485" s="4"/>
      <c r="AN485" s="7"/>
      <c r="AO485" s="7"/>
      <c r="AP485" s="7"/>
      <c r="AQ485" s="4"/>
      <c r="AR485" s="7"/>
      <c r="AS485" s="4"/>
      <c r="AT485" s="7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</row>
    <row r="486" spans="1:63" ht="15.75" customHeight="1">
      <c r="A486" s="3"/>
      <c r="B486" s="3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6"/>
      <c r="AJ486" s="7"/>
      <c r="AK486" s="8"/>
      <c r="AL486" s="7"/>
      <c r="AM486" s="4"/>
      <c r="AN486" s="7"/>
      <c r="AO486" s="7"/>
      <c r="AP486" s="7"/>
      <c r="AQ486" s="4"/>
      <c r="AR486" s="7"/>
      <c r="AS486" s="4"/>
      <c r="AT486" s="7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</row>
    <row r="487" spans="1:63" ht="15.75" customHeight="1">
      <c r="A487" s="3"/>
      <c r="B487" s="3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6"/>
      <c r="AJ487" s="7"/>
      <c r="AK487" s="8"/>
      <c r="AL487" s="7"/>
      <c r="AM487" s="4"/>
      <c r="AN487" s="7"/>
      <c r="AO487" s="7"/>
      <c r="AP487" s="7"/>
      <c r="AQ487" s="4"/>
      <c r="AR487" s="7"/>
      <c r="AS487" s="4"/>
      <c r="AT487" s="7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</row>
    <row r="488" spans="1:63" ht="15.75" customHeight="1">
      <c r="A488" s="3"/>
      <c r="B488" s="3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6"/>
      <c r="AJ488" s="7"/>
      <c r="AK488" s="8"/>
      <c r="AL488" s="7"/>
      <c r="AM488" s="4"/>
      <c r="AN488" s="7"/>
      <c r="AO488" s="7"/>
      <c r="AP488" s="7"/>
      <c r="AQ488" s="4"/>
      <c r="AR488" s="7"/>
      <c r="AS488" s="4"/>
      <c r="AT488" s="7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</row>
    <row r="489" spans="1:63" ht="15.75" customHeight="1">
      <c r="A489" s="3"/>
      <c r="B489" s="3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6"/>
      <c r="AJ489" s="7"/>
      <c r="AK489" s="8"/>
      <c r="AL489" s="7"/>
      <c r="AM489" s="4"/>
      <c r="AN489" s="7"/>
      <c r="AO489" s="7"/>
      <c r="AP489" s="7"/>
      <c r="AQ489" s="4"/>
      <c r="AR489" s="7"/>
      <c r="AS489" s="4"/>
      <c r="AT489" s="7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</row>
    <row r="490" spans="1:63" ht="15.75" customHeight="1">
      <c r="A490" s="3"/>
      <c r="B490" s="3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6"/>
      <c r="AJ490" s="7"/>
      <c r="AK490" s="8"/>
      <c r="AL490" s="7"/>
      <c r="AM490" s="4"/>
      <c r="AN490" s="7"/>
      <c r="AO490" s="7"/>
      <c r="AP490" s="7"/>
      <c r="AQ490" s="4"/>
      <c r="AR490" s="7"/>
      <c r="AS490" s="4"/>
      <c r="AT490" s="7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</row>
    <row r="491" spans="1:63" ht="15.75" customHeight="1">
      <c r="A491" s="3"/>
      <c r="B491" s="3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6"/>
      <c r="AJ491" s="7"/>
      <c r="AK491" s="8"/>
      <c r="AL491" s="7"/>
      <c r="AM491" s="4"/>
      <c r="AN491" s="7"/>
      <c r="AO491" s="7"/>
      <c r="AP491" s="7"/>
      <c r="AQ491" s="4"/>
      <c r="AR491" s="7"/>
      <c r="AS491" s="4"/>
      <c r="AT491" s="7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</row>
    <row r="492" spans="1:63" ht="15.75" customHeight="1">
      <c r="A492" s="3"/>
      <c r="B492" s="3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6"/>
      <c r="AJ492" s="7"/>
      <c r="AK492" s="8"/>
      <c r="AL492" s="7"/>
      <c r="AM492" s="4"/>
      <c r="AN492" s="7"/>
      <c r="AO492" s="7"/>
      <c r="AP492" s="7"/>
      <c r="AQ492" s="4"/>
      <c r="AR492" s="7"/>
      <c r="AS492" s="4"/>
      <c r="AT492" s="7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</row>
    <row r="493" spans="1:63" ht="15.75" customHeight="1">
      <c r="A493" s="3"/>
      <c r="B493" s="3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6"/>
      <c r="AJ493" s="7"/>
      <c r="AK493" s="8"/>
      <c r="AL493" s="7"/>
      <c r="AM493" s="4"/>
      <c r="AN493" s="7"/>
      <c r="AO493" s="7"/>
      <c r="AP493" s="7"/>
      <c r="AQ493" s="4"/>
      <c r="AR493" s="7"/>
      <c r="AS493" s="4"/>
      <c r="AT493" s="7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</row>
    <row r="494" spans="1:63" ht="15.75" customHeight="1">
      <c r="A494" s="3"/>
      <c r="B494" s="3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6"/>
      <c r="AJ494" s="7"/>
      <c r="AK494" s="8"/>
      <c r="AL494" s="7"/>
      <c r="AM494" s="4"/>
      <c r="AN494" s="7"/>
      <c r="AO494" s="7"/>
      <c r="AP494" s="7"/>
      <c r="AQ494" s="4"/>
      <c r="AR494" s="7"/>
      <c r="AS494" s="4"/>
      <c r="AT494" s="7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</row>
    <row r="495" spans="1:63" ht="15.75" customHeight="1">
      <c r="A495" s="3"/>
      <c r="B495" s="3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6"/>
      <c r="AJ495" s="7"/>
      <c r="AK495" s="8"/>
      <c r="AL495" s="7"/>
      <c r="AM495" s="4"/>
      <c r="AN495" s="7"/>
      <c r="AO495" s="7"/>
      <c r="AP495" s="7"/>
      <c r="AQ495" s="4"/>
      <c r="AR495" s="7"/>
      <c r="AS495" s="4"/>
      <c r="AT495" s="7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</row>
    <row r="496" spans="1:63" ht="15.75" customHeight="1">
      <c r="A496" s="3"/>
      <c r="B496" s="3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6"/>
      <c r="AJ496" s="7"/>
      <c r="AK496" s="8"/>
      <c r="AL496" s="7"/>
      <c r="AM496" s="4"/>
      <c r="AN496" s="7"/>
      <c r="AO496" s="7"/>
      <c r="AP496" s="7"/>
      <c r="AQ496" s="4"/>
      <c r="AR496" s="7"/>
      <c r="AS496" s="4"/>
      <c r="AT496" s="7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</row>
    <row r="497" spans="1:63" ht="15.75" customHeight="1">
      <c r="A497" s="3"/>
      <c r="B497" s="3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6"/>
      <c r="AJ497" s="7"/>
      <c r="AK497" s="8"/>
      <c r="AL497" s="7"/>
      <c r="AM497" s="4"/>
      <c r="AN497" s="7"/>
      <c r="AO497" s="7"/>
      <c r="AP497" s="7"/>
      <c r="AQ497" s="4"/>
      <c r="AR497" s="7"/>
      <c r="AS497" s="4"/>
      <c r="AT497" s="7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</row>
    <row r="498" spans="1:63" ht="15.75" customHeight="1">
      <c r="A498" s="3"/>
      <c r="B498" s="3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6"/>
      <c r="AJ498" s="7"/>
      <c r="AK498" s="8"/>
      <c r="AL498" s="7"/>
      <c r="AM498" s="4"/>
      <c r="AN498" s="7"/>
      <c r="AO498" s="7"/>
      <c r="AP498" s="7"/>
      <c r="AQ498" s="4"/>
      <c r="AR498" s="7"/>
      <c r="AS498" s="4"/>
      <c r="AT498" s="7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</row>
    <row r="499" spans="1:63" ht="15.75" customHeight="1">
      <c r="A499" s="3"/>
      <c r="B499" s="3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6"/>
      <c r="AJ499" s="7"/>
      <c r="AK499" s="8"/>
      <c r="AL499" s="7"/>
      <c r="AM499" s="4"/>
      <c r="AN499" s="7"/>
      <c r="AO499" s="7"/>
      <c r="AP499" s="7"/>
      <c r="AQ499" s="4"/>
      <c r="AR499" s="7"/>
      <c r="AS499" s="4"/>
      <c r="AT499" s="7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</row>
    <row r="500" spans="1:63" ht="15.75" customHeight="1">
      <c r="A500" s="3"/>
      <c r="B500" s="3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6"/>
      <c r="AJ500" s="7"/>
      <c r="AK500" s="8"/>
      <c r="AL500" s="7"/>
      <c r="AM500" s="4"/>
      <c r="AN500" s="7"/>
      <c r="AO500" s="7"/>
      <c r="AP500" s="7"/>
      <c r="AQ500" s="4"/>
      <c r="AR500" s="7"/>
      <c r="AS500" s="4"/>
      <c r="AT500" s="7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</row>
    <row r="501" spans="1:63" ht="15.75" customHeight="1">
      <c r="A501" s="3"/>
      <c r="B501" s="3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6"/>
      <c r="AJ501" s="7"/>
      <c r="AK501" s="8"/>
      <c r="AL501" s="7"/>
      <c r="AM501" s="4"/>
      <c r="AN501" s="7"/>
      <c r="AO501" s="7"/>
      <c r="AP501" s="7"/>
      <c r="AQ501" s="4"/>
      <c r="AR501" s="7"/>
      <c r="AS501" s="4"/>
      <c r="AT501" s="7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</row>
    <row r="502" spans="1:63" ht="15.75" customHeight="1">
      <c r="A502" s="3"/>
      <c r="B502" s="3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6"/>
      <c r="AJ502" s="7"/>
      <c r="AK502" s="8"/>
      <c r="AL502" s="7"/>
      <c r="AM502" s="4"/>
      <c r="AN502" s="7"/>
      <c r="AO502" s="7"/>
      <c r="AP502" s="7"/>
      <c r="AQ502" s="4"/>
      <c r="AR502" s="7"/>
      <c r="AS502" s="4"/>
      <c r="AT502" s="7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</row>
    <row r="503" spans="1:63" ht="15.75" customHeight="1">
      <c r="A503" s="3"/>
      <c r="B503" s="3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6"/>
      <c r="AJ503" s="7"/>
      <c r="AK503" s="8"/>
      <c r="AL503" s="7"/>
      <c r="AM503" s="4"/>
      <c r="AN503" s="7"/>
      <c r="AO503" s="7"/>
      <c r="AP503" s="7"/>
      <c r="AQ503" s="4"/>
      <c r="AR503" s="7"/>
      <c r="AS503" s="4"/>
      <c r="AT503" s="7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</row>
    <row r="504" spans="1:63" ht="15.75" customHeight="1">
      <c r="A504" s="3"/>
      <c r="B504" s="3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6"/>
      <c r="AJ504" s="7"/>
      <c r="AK504" s="8"/>
      <c r="AL504" s="7"/>
      <c r="AM504" s="4"/>
      <c r="AN504" s="7"/>
      <c r="AO504" s="7"/>
      <c r="AP504" s="7"/>
      <c r="AQ504" s="4"/>
      <c r="AR504" s="7"/>
      <c r="AS504" s="4"/>
      <c r="AT504" s="7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</row>
    <row r="505" spans="1:63" ht="15.75" customHeight="1">
      <c r="A505" s="3"/>
      <c r="B505" s="3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6"/>
      <c r="AJ505" s="7"/>
      <c r="AK505" s="8"/>
      <c r="AL505" s="7"/>
      <c r="AM505" s="4"/>
      <c r="AN505" s="7"/>
      <c r="AO505" s="7"/>
      <c r="AP505" s="7"/>
      <c r="AQ505" s="4"/>
      <c r="AR505" s="7"/>
      <c r="AS505" s="4"/>
      <c r="AT505" s="7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</row>
    <row r="506" spans="1:63" ht="15.75" customHeight="1">
      <c r="A506" s="3"/>
      <c r="B506" s="3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6"/>
      <c r="AJ506" s="7"/>
      <c r="AK506" s="8"/>
      <c r="AL506" s="7"/>
      <c r="AM506" s="4"/>
      <c r="AN506" s="7"/>
      <c r="AO506" s="7"/>
      <c r="AP506" s="7"/>
      <c r="AQ506" s="4"/>
      <c r="AR506" s="7"/>
      <c r="AS506" s="4"/>
      <c r="AT506" s="7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</row>
    <row r="507" spans="1:63" ht="15.75" customHeight="1">
      <c r="A507" s="3"/>
      <c r="B507" s="3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6"/>
      <c r="AJ507" s="7"/>
      <c r="AK507" s="8"/>
      <c r="AL507" s="7"/>
      <c r="AM507" s="4"/>
      <c r="AN507" s="7"/>
      <c r="AO507" s="7"/>
      <c r="AP507" s="7"/>
      <c r="AQ507" s="4"/>
      <c r="AR507" s="7"/>
      <c r="AS507" s="4"/>
      <c r="AT507" s="7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</row>
    <row r="508" spans="1:63" ht="15.75" customHeight="1">
      <c r="A508" s="3"/>
      <c r="B508" s="3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6"/>
      <c r="AJ508" s="7"/>
      <c r="AK508" s="8"/>
      <c r="AL508" s="7"/>
      <c r="AM508" s="4"/>
      <c r="AN508" s="7"/>
      <c r="AO508" s="7"/>
      <c r="AP508" s="7"/>
      <c r="AQ508" s="4"/>
      <c r="AR508" s="7"/>
      <c r="AS508" s="4"/>
      <c r="AT508" s="7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</row>
    <row r="509" spans="1:63" ht="15.75" customHeight="1">
      <c r="A509" s="3"/>
      <c r="B509" s="3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6"/>
      <c r="AJ509" s="7"/>
      <c r="AK509" s="8"/>
      <c r="AL509" s="7"/>
      <c r="AM509" s="4"/>
      <c r="AN509" s="7"/>
      <c r="AO509" s="7"/>
      <c r="AP509" s="7"/>
      <c r="AQ509" s="4"/>
      <c r="AR509" s="7"/>
      <c r="AS509" s="4"/>
      <c r="AT509" s="7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</row>
    <row r="510" spans="1:63" ht="15.75" customHeight="1">
      <c r="A510" s="3"/>
      <c r="B510" s="3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6"/>
      <c r="AJ510" s="7"/>
      <c r="AK510" s="8"/>
      <c r="AL510" s="7"/>
      <c r="AM510" s="4"/>
      <c r="AN510" s="7"/>
      <c r="AO510" s="7"/>
      <c r="AP510" s="7"/>
      <c r="AQ510" s="4"/>
      <c r="AR510" s="7"/>
      <c r="AS510" s="4"/>
      <c r="AT510" s="7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</row>
    <row r="511" spans="1:63" ht="15.75" customHeight="1">
      <c r="A511" s="3"/>
      <c r="B511" s="3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6"/>
      <c r="AJ511" s="7"/>
      <c r="AK511" s="8"/>
      <c r="AL511" s="7"/>
      <c r="AM511" s="4"/>
      <c r="AN511" s="7"/>
      <c r="AO511" s="7"/>
      <c r="AP511" s="7"/>
      <c r="AQ511" s="4"/>
      <c r="AR511" s="7"/>
      <c r="AS511" s="4"/>
      <c r="AT511" s="7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</row>
    <row r="512" spans="1:63" ht="15.75" customHeight="1">
      <c r="A512" s="3"/>
      <c r="B512" s="3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6"/>
      <c r="AJ512" s="7"/>
      <c r="AK512" s="8"/>
      <c r="AL512" s="7"/>
      <c r="AM512" s="4"/>
      <c r="AN512" s="7"/>
      <c r="AO512" s="7"/>
      <c r="AP512" s="7"/>
      <c r="AQ512" s="4"/>
      <c r="AR512" s="7"/>
      <c r="AS512" s="4"/>
      <c r="AT512" s="7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</row>
    <row r="513" spans="1:63" ht="15.75" customHeight="1">
      <c r="A513" s="3"/>
      <c r="B513" s="3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6"/>
      <c r="AJ513" s="7"/>
      <c r="AK513" s="8"/>
      <c r="AL513" s="7"/>
      <c r="AM513" s="4"/>
      <c r="AN513" s="7"/>
      <c r="AO513" s="7"/>
      <c r="AP513" s="7"/>
      <c r="AQ513" s="4"/>
      <c r="AR513" s="7"/>
      <c r="AS513" s="4"/>
      <c r="AT513" s="7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</row>
    <row r="514" spans="1:63" ht="15.75" customHeight="1">
      <c r="A514" s="3"/>
      <c r="B514" s="3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6"/>
      <c r="AJ514" s="7"/>
      <c r="AK514" s="8"/>
      <c r="AL514" s="7"/>
      <c r="AM514" s="4"/>
      <c r="AN514" s="7"/>
      <c r="AO514" s="7"/>
      <c r="AP514" s="7"/>
      <c r="AQ514" s="4"/>
      <c r="AR514" s="7"/>
      <c r="AS514" s="4"/>
      <c r="AT514" s="7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</row>
    <row r="515" spans="1:63" ht="15.75" customHeight="1">
      <c r="A515" s="3"/>
      <c r="B515" s="3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6"/>
      <c r="AJ515" s="7"/>
      <c r="AK515" s="8"/>
      <c r="AL515" s="7"/>
      <c r="AM515" s="4"/>
      <c r="AN515" s="7"/>
      <c r="AO515" s="7"/>
      <c r="AP515" s="7"/>
      <c r="AQ515" s="4"/>
      <c r="AR515" s="7"/>
      <c r="AS515" s="4"/>
      <c r="AT515" s="7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</row>
    <row r="516" spans="1:63" ht="15.75" customHeight="1">
      <c r="A516" s="3"/>
      <c r="B516" s="3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6"/>
      <c r="AJ516" s="7"/>
      <c r="AK516" s="8"/>
      <c r="AL516" s="7"/>
      <c r="AM516" s="4"/>
      <c r="AN516" s="7"/>
      <c r="AO516" s="7"/>
      <c r="AP516" s="7"/>
      <c r="AQ516" s="4"/>
      <c r="AR516" s="7"/>
      <c r="AS516" s="4"/>
      <c r="AT516" s="7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</row>
    <row r="517" spans="1:63" ht="15.75" customHeight="1">
      <c r="A517" s="3"/>
      <c r="B517" s="3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6"/>
      <c r="AJ517" s="7"/>
      <c r="AK517" s="8"/>
      <c r="AL517" s="7"/>
      <c r="AM517" s="4"/>
      <c r="AN517" s="7"/>
      <c r="AO517" s="7"/>
      <c r="AP517" s="7"/>
      <c r="AQ517" s="4"/>
      <c r="AR517" s="7"/>
      <c r="AS517" s="4"/>
      <c r="AT517" s="7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</row>
    <row r="518" spans="1:63" ht="15.75" customHeight="1">
      <c r="A518" s="3"/>
      <c r="B518" s="3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6"/>
      <c r="AJ518" s="7"/>
      <c r="AK518" s="8"/>
      <c r="AL518" s="7"/>
      <c r="AM518" s="4"/>
      <c r="AN518" s="7"/>
      <c r="AO518" s="7"/>
      <c r="AP518" s="7"/>
      <c r="AQ518" s="4"/>
      <c r="AR518" s="7"/>
      <c r="AS518" s="4"/>
      <c r="AT518" s="7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</row>
    <row r="519" spans="1:63" ht="15.75" customHeight="1">
      <c r="A519" s="3"/>
      <c r="B519" s="3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6"/>
      <c r="AJ519" s="7"/>
      <c r="AK519" s="8"/>
      <c r="AL519" s="7"/>
      <c r="AM519" s="4"/>
      <c r="AN519" s="7"/>
      <c r="AO519" s="7"/>
      <c r="AP519" s="7"/>
      <c r="AQ519" s="4"/>
      <c r="AR519" s="7"/>
      <c r="AS519" s="4"/>
      <c r="AT519" s="7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</row>
    <row r="520" spans="1:63" ht="15.75" customHeight="1">
      <c r="A520" s="3"/>
      <c r="B520" s="3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6"/>
      <c r="AJ520" s="7"/>
      <c r="AK520" s="8"/>
      <c r="AL520" s="7"/>
      <c r="AM520" s="4"/>
      <c r="AN520" s="7"/>
      <c r="AO520" s="7"/>
      <c r="AP520" s="7"/>
      <c r="AQ520" s="4"/>
      <c r="AR520" s="7"/>
      <c r="AS520" s="4"/>
      <c r="AT520" s="7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</row>
    <row r="521" spans="1:63" ht="15.75" customHeight="1">
      <c r="A521" s="3"/>
      <c r="B521" s="3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6"/>
      <c r="AJ521" s="7"/>
      <c r="AK521" s="8"/>
      <c r="AL521" s="7"/>
      <c r="AM521" s="4"/>
      <c r="AN521" s="7"/>
      <c r="AO521" s="7"/>
      <c r="AP521" s="7"/>
      <c r="AQ521" s="4"/>
      <c r="AR521" s="7"/>
      <c r="AS521" s="4"/>
      <c r="AT521" s="7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</row>
    <row r="522" spans="1:63" ht="15.75" customHeight="1">
      <c r="A522" s="3"/>
      <c r="B522" s="3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6"/>
      <c r="AJ522" s="7"/>
      <c r="AK522" s="8"/>
      <c r="AL522" s="7"/>
      <c r="AM522" s="4"/>
      <c r="AN522" s="7"/>
      <c r="AO522" s="7"/>
      <c r="AP522" s="7"/>
      <c r="AQ522" s="4"/>
      <c r="AR522" s="7"/>
      <c r="AS522" s="4"/>
      <c r="AT522" s="7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</row>
    <row r="523" spans="1:63" ht="15.75" customHeight="1">
      <c r="A523" s="3"/>
      <c r="B523" s="3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6"/>
      <c r="AJ523" s="7"/>
      <c r="AK523" s="8"/>
      <c r="AL523" s="7"/>
      <c r="AM523" s="4"/>
      <c r="AN523" s="7"/>
      <c r="AO523" s="7"/>
      <c r="AP523" s="7"/>
      <c r="AQ523" s="4"/>
      <c r="AR523" s="7"/>
      <c r="AS523" s="4"/>
      <c r="AT523" s="7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</row>
    <row r="524" spans="1:63" ht="15.75" customHeight="1">
      <c r="A524" s="3"/>
      <c r="B524" s="3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6"/>
      <c r="AJ524" s="7"/>
      <c r="AK524" s="8"/>
      <c r="AL524" s="7"/>
      <c r="AM524" s="4"/>
      <c r="AN524" s="7"/>
      <c r="AO524" s="7"/>
      <c r="AP524" s="7"/>
      <c r="AQ524" s="4"/>
      <c r="AR524" s="7"/>
      <c r="AS524" s="4"/>
      <c r="AT524" s="7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</row>
    <row r="525" spans="1:63" ht="15.75" customHeight="1">
      <c r="A525" s="3"/>
      <c r="B525" s="3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6"/>
      <c r="AJ525" s="7"/>
      <c r="AK525" s="8"/>
      <c r="AL525" s="7"/>
      <c r="AM525" s="4"/>
      <c r="AN525" s="7"/>
      <c r="AO525" s="7"/>
      <c r="AP525" s="7"/>
      <c r="AQ525" s="4"/>
      <c r="AR525" s="7"/>
      <c r="AS525" s="4"/>
      <c r="AT525" s="7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</row>
    <row r="526" spans="1:63" ht="15.75" customHeight="1">
      <c r="A526" s="3"/>
      <c r="B526" s="3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6"/>
      <c r="AJ526" s="7"/>
      <c r="AK526" s="8"/>
      <c r="AL526" s="7"/>
      <c r="AM526" s="4"/>
      <c r="AN526" s="7"/>
      <c r="AO526" s="7"/>
      <c r="AP526" s="7"/>
      <c r="AQ526" s="4"/>
      <c r="AR526" s="7"/>
      <c r="AS526" s="4"/>
      <c r="AT526" s="7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</row>
    <row r="527" spans="1:63" ht="15.75" customHeight="1">
      <c r="A527" s="3"/>
      <c r="B527" s="3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6"/>
      <c r="AJ527" s="7"/>
      <c r="AK527" s="8"/>
      <c r="AL527" s="7"/>
      <c r="AM527" s="4"/>
      <c r="AN527" s="7"/>
      <c r="AO527" s="7"/>
      <c r="AP527" s="7"/>
      <c r="AQ527" s="4"/>
      <c r="AR527" s="7"/>
      <c r="AS527" s="4"/>
      <c r="AT527" s="7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</row>
    <row r="528" spans="1:63" ht="15.75" customHeight="1">
      <c r="A528" s="3"/>
      <c r="B528" s="3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6"/>
      <c r="AJ528" s="7"/>
      <c r="AK528" s="8"/>
      <c r="AL528" s="7"/>
      <c r="AM528" s="4"/>
      <c r="AN528" s="7"/>
      <c r="AO528" s="7"/>
      <c r="AP528" s="7"/>
      <c r="AQ528" s="4"/>
      <c r="AR528" s="7"/>
      <c r="AS528" s="4"/>
      <c r="AT528" s="7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</row>
    <row r="529" spans="1:63" ht="15.75" customHeight="1">
      <c r="A529" s="3"/>
      <c r="B529" s="3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6"/>
      <c r="AJ529" s="7"/>
      <c r="AK529" s="8"/>
      <c r="AL529" s="7"/>
      <c r="AM529" s="4"/>
      <c r="AN529" s="7"/>
      <c r="AO529" s="7"/>
      <c r="AP529" s="7"/>
      <c r="AQ529" s="4"/>
      <c r="AR529" s="7"/>
      <c r="AS529" s="4"/>
      <c r="AT529" s="7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</row>
    <row r="530" spans="1:63" ht="15.75" customHeight="1">
      <c r="A530" s="3"/>
      <c r="B530" s="3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6"/>
      <c r="AJ530" s="7"/>
      <c r="AK530" s="8"/>
      <c r="AL530" s="7"/>
      <c r="AM530" s="4"/>
      <c r="AN530" s="7"/>
      <c r="AO530" s="7"/>
      <c r="AP530" s="7"/>
      <c r="AQ530" s="4"/>
      <c r="AR530" s="7"/>
      <c r="AS530" s="4"/>
      <c r="AT530" s="7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</row>
    <row r="531" spans="1:63" ht="15.75" customHeight="1">
      <c r="A531" s="3"/>
      <c r="B531" s="3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6"/>
      <c r="AJ531" s="7"/>
      <c r="AK531" s="8"/>
      <c r="AL531" s="7"/>
      <c r="AM531" s="4"/>
      <c r="AN531" s="7"/>
      <c r="AO531" s="7"/>
      <c r="AP531" s="7"/>
      <c r="AQ531" s="4"/>
      <c r="AR531" s="7"/>
      <c r="AS531" s="4"/>
      <c r="AT531" s="7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</row>
    <row r="532" spans="1:63" ht="15.75" customHeight="1">
      <c r="A532" s="3"/>
      <c r="B532" s="3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6"/>
      <c r="AJ532" s="7"/>
      <c r="AK532" s="8"/>
      <c r="AL532" s="7"/>
      <c r="AM532" s="4"/>
      <c r="AN532" s="7"/>
      <c r="AO532" s="7"/>
      <c r="AP532" s="7"/>
      <c r="AQ532" s="4"/>
      <c r="AR532" s="7"/>
      <c r="AS532" s="4"/>
      <c r="AT532" s="7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</row>
    <row r="533" spans="1:63" ht="15.75" customHeight="1">
      <c r="A533" s="3"/>
      <c r="B533" s="3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6"/>
      <c r="AJ533" s="7"/>
      <c r="AK533" s="8"/>
      <c r="AL533" s="7"/>
      <c r="AM533" s="4"/>
      <c r="AN533" s="7"/>
      <c r="AO533" s="7"/>
      <c r="AP533" s="7"/>
      <c r="AQ533" s="4"/>
      <c r="AR533" s="7"/>
      <c r="AS533" s="4"/>
      <c r="AT533" s="7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</row>
    <row r="534" spans="1:63" ht="15.75" customHeight="1">
      <c r="A534" s="3"/>
      <c r="B534" s="3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6"/>
      <c r="AJ534" s="7"/>
      <c r="AK534" s="8"/>
      <c r="AL534" s="7"/>
      <c r="AM534" s="4"/>
      <c r="AN534" s="7"/>
      <c r="AO534" s="7"/>
      <c r="AP534" s="7"/>
      <c r="AQ534" s="4"/>
      <c r="AR534" s="7"/>
      <c r="AS534" s="4"/>
      <c r="AT534" s="7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</row>
    <row r="535" spans="1:63" ht="15.75" customHeight="1">
      <c r="A535" s="3"/>
      <c r="B535" s="3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6"/>
      <c r="AJ535" s="7"/>
      <c r="AK535" s="8"/>
      <c r="AL535" s="7"/>
      <c r="AM535" s="4"/>
      <c r="AN535" s="7"/>
      <c r="AO535" s="7"/>
      <c r="AP535" s="7"/>
      <c r="AQ535" s="4"/>
      <c r="AR535" s="7"/>
      <c r="AS535" s="4"/>
      <c r="AT535" s="7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</row>
    <row r="536" spans="1:63" ht="15.75" customHeight="1">
      <c r="A536" s="3"/>
      <c r="B536" s="3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6"/>
      <c r="AJ536" s="7"/>
      <c r="AK536" s="8"/>
      <c r="AL536" s="7"/>
      <c r="AM536" s="4"/>
      <c r="AN536" s="7"/>
      <c r="AO536" s="7"/>
      <c r="AP536" s="7"/>
      <c r="AQ536" s="4"/>
      <c r="AR536" s="7"/>
      <c r="AS536" s="4"/>
      <c r="AT536" s="7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</row>
    <row r="537" spans="1:63" ht="15.75" customHeight="1">
      <c r="A537" s="3"/>
      <c r="B537" s="3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6"/>
      <c r="AJ537" s="7"/>
      <c r="AK537" s="8"/>
      <c r="AL537" s="7"/>
      <c r="AM537" s="4"/>
      <c r="AN537" s="7"/>
      <c r="AO537" s="7"/>
      <c r="AP537" s="7"/>
      <c r="AQ537" s="4"/>
      <c r="AR537" s="7"/>
      <c r="AS537" s="4"/>
      <c r="AT537" s="7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</row>
    <row r="538" spans="1:63" ht="15.75" customHeight="1">
      <c r="A538" s="3"/>
      <c r="B538" s="3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6"/>
      <c r="AJ538" s="7"/>
      <c r="AK538" s="8"/>
      <c r="AL538" s="7"/>
      <c r="AM538" s="4"/>
      <c r="AN538" s="7"/>
      <c r="AO538" s="7"/>
      <c r="AP538" s="7"/>
      <c r="AQ538" s="4"/>
      <c r="AR538" s="7"/>
      <c r="AS538" s="4"/>
      <c r="AT538" s="7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</row>
    <row r="539" spans="1:63" ht="15.75" customHeight="1">
      <c r="A539" s="3"/>
      <c r="B539" s="3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6"/>
      <c r="AJ539" s="7"/>
      <c r="AK539" s="8"/>
      <c r="AL539" s="7"/>
      <c r="AM539" s="4"/>
      <c r="AN539" s="7"/>
      <c r="AO539" s="7"/>
      <c r="AP539" s="7"/>
      <c r="AQ539" s="4"/>
      <c r="AR539" s="7"/>
      <c r="AS539" s="4"/>
      <c r="AT539" s="7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</row>
    <row r="540" spans="1:63" ht="15.75" customHeight="1">
      <c r="A540" s="3"/>
      <c r="B540" s="3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6"/>
      <c r="AJ540" s="7"/>
      <c r="AK540" s="8"/>
      <c r="AL540" s="7"/>
      <c r="AM540" s="4"/>
      <c r="AN540" s="7"/>
      <c r="AO540" s="7"/>
      <c r="AP540" s="7"/>
      <c r="AQ540" s="4"/>
      <c r="AR540" s="7"/>
      <c r="AS540" s="4"/>
      <c r="AT540" s="7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</row>
    <row r="541" spans="1:63" ht="15.75" customHeight="1">
      <c r="A541" s="3"/>
      <c r="B541" s="3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6"/>
      <c r="AJ541" s="7"/>
      <c r="AK541" s="8"/>
      <c r="AL541" s="7"/>
      <c r="AM541" s="4"/>
      <c r="AN541" s="7"/>
      <c r="AO541" s="7"/>
      <c r="AP541" s="7"/>
      <c r="AQ541" s="4"/>
      <c r="AR541" s="7"/>
      <c r="AS541" s="4"/>
      <c r="AT541" s="7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</row>
    <row r="542" spans="1:63" ht="15.75" customHeight="1">
      <c r="A542" s="3"/>
      <c r="B542" s="3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6"/>
      <c r="AJ542" s="7"/>
      <c r="AK542" s="8"/>
      <c r="AL542" s="7"/>
      <c r="AM542" s="4"/>
      <c r="AN542" s="7"/>
      <c r="AO542" s="7"/>
      <c r="AP542" s="7"/>
      <c r="AQ542" s="4"/>
      <c r="AR542" s="7"/>
      <c r="AS542" s="4"/>
      <c r="AT542" s="7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</row>
    <row r="543" spans="1:63" ht="15.75" customHeight="1">
      <c r="A543" s="3"/>
      <c r="B543" s="3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6"/>
      <c r="AJ543" s="7"/>
      <c r="AK543" s="8"/>
      <c r="AL543" s="7"/>
      <c r="AM543" s="4"/>
      <c r="AN543" s="7"/>
      <c r="AO543" s="7"/>
      <c r="AP543" s="7"/>
      <c r="AQ543" s="4"/>
      <c r="AR543" s="7"/>
      <c r="AS543" s="4"/>
      <c r="AT543" s="7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</row>
    <row r="544" spans="1:63" ht="15.75" customHeight="1">
      <c r="A544" s="3"/>
      <c r="B544" s="3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6"/>
      <c r="AJ544" s="7"/>
      <c r="AK544" s="8"/>
      <c r="AL544" s="7"/>
      <c r="AM544" s="4"/>
      <c r="AN544" s="7"/>
      <c r="AO544" s="7"/>
      <c r="AP544" s="7"/>
      <c r="AQ544" s="4"/>
      <c r="AR544" s="7"/>
      <c r="AS544" s="4"/>
      <c r="AT544" s="7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</row>
    <row r="545" spans="1:63" ht="15.75" customHeight="1">
      <c r="A545" s="3"/>
      <c r="B545" s="3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6"/>
      <c r="AJ545" s="7"/>
      <c r="AK545" s="8"/>
      <c r="AL545" s="7"/>
      <c r="AM545" s="4"/>
      <c r="AN545" s="7"/>
      <c r="AO545" s="7"/>
      <c r="AP545" s="7"/>
      <c r="AQ545" s="4"/>
      <c r="AR545" s="7"/>
      <c r="AS545" s="4"/>
      <c r="AT545" s="7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</row>
    <row r="546" spans="1:63" ht="15.75" customHeight="1">
      <c r="A546" s="3"/>
      <c r="B546" s="3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6"/>
      <c r="AJ546" s="7"/>
      <c r="AK546" s="8"/>
      <c r="AL546" s="7"/>
      <c r="AM546" s="4"/>
      <c r="AN546" s="7"/>
      <c r="AO546" s="7"/>
      <c r="AP546" s="7"/>
      <c r="AQ546" s="4"/>
      <c r="AR546" s="7"/>
      <c r="AS546" s="4"/>
      <c r="AT546" s="7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</row>
    <row r="547" spans="1:63" ht="15.75" customHeight="1">
      <c r="A547" s="3"/>
      <c r="B547" s="3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6"/>
      <c r="AJ547" s="7"/>
      <c r="AK547" s="8"/>
      <c r="AL547" s="7"/>
      <c r="AM547" s="4"/>
      <c r="AN547" s="7"/>
      <c r="AO547" s="7"/>
      <c r="AP547" s="7"/>
      <c r="AQ547" s="4"/>
      <c r="AR547" s="7"/>
      <c r="AS547" s="4"/>
      <c r="AT547" s="7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</row>
    <row r="548" spans="1:63" ht="15.75" customHeight="1">
      <c r="A548" s="3"/>
      <c r="B548" s="3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6"/>
      <c r="AJ548" s="7"/>
      <c r="AK548" s="8"/>
      <c r="AL548" s="7"/>
      <c r="AM548" s="4"/>
      <c r="AN548" s="7"/>
      <c r="AO548" s="7"/>
      <c r="AP548" s="7"/>
      <c r="AQ548" s="4"/>
      <c r="AR548" s="7"/>
      <c r="AS548" s="4"/>
      <c r="AT548" s="7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</row>
    <row r="549" spans="1:63" ht="15.75" customHeight="1">
      <c r="A549" s="3"/>
      <c r="B549" s="3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6"/>
      <c r="AJ549" s="7"/>
      <c r="AK549" s="8"/>
      <c r="AL549" s="7"/>
      <c r="AM549" s="4"/>
      <c r="AN549" s="7"/>
      <c r="AO549" s="7"/>
      <c r="AP549" s="7"/>
      <c r="AQ549" s="4"/>
      <c r="AR549" s="7"/>
      <c r="AS549" s="4"/>
      <c r="AT549" s="7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</row>
    <row r="550" spans="1:63" ht="15.75" customHeight="1">
      <c r="A550" s="3"/>
      <c r="B550" s="3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6"/>
      <c r="AJ550" s="7"/>
      <c r="AK550" s="8"/>
      <c r="AL550" s="7"/>
      <c r="AM550" s="4"/>
      <c r="AN550" s="7"/>
      <c r="AO550" s="7"/>
      <c r="AP550" s="7"/>
      <c r="AQ550" s="4"/>
      <c r="AR550" s="7"/>
      <c r="AS550" s="4"/>
      <c r="AT550" s="7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</row>
    <row r="551" spans="1:63" ht="15.75" customHeight="1">
      <c r="A551" s="3"/>
      <c r="B551" s="3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6"/>
      <c r="AJ551" s="7"/>
      <c r="AK551" s="8"/>
      <c r="AL551" s="7"/>
      <c r="AM551" s="4"/>
      <c r="AN551" s="7"/>
      <c r="AO551" s="7"/>
      <c r="AP551" s="7"/>
      <c r="AQ551" s="4"/>
      <c r="AR551" s="7"/>
      <c r="AS551" s="4"/>
      <c r="AT551" s="7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</row>
    <row r="552" spans="1:63" ht="15.75" customHeight="1">
      <c r="A552" s="3"/>
      <c r="B552" s="3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6"/>
      <c r="AJ552" s="7"/>
      <c r="AK552" s="8"/>
      <c r="AL552" s="7"/>
      <c r="AM552" s="4"/>
      <c r="AN552" s="7"/>
      <c r="AO552" s="7"/>
      <c r="AP552" s="7"/>
      <c r="AQ552" s="4"/>
      <c r="AR552" s="7"/>
      <c r="AS552" s="4"/>
      <c r="AT552" s="7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</row>
    <row r="553" spans="1:63" ht="15.75" customHeight="1">
      <c r="A553" s="3"/>
      <c r="B553" s="3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6"/>
      <c r="AJ553" s="7"/>
      <c r="AK553" s="8"/>
      <c r="AL553" s="7"/>
      <c r="AM553" s="4"/>
      <c r="AN553" s="7"/>
      <c r="AO553" s="7"/>
      <c r="AP553" s="7"/>
      <c r="AQ553" s="4"/>
      <c r="AR553" s="7"/>
      <c r="AS553" s="4"/>
      <c r="AT553" s="7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</row>
    <row r="554" spans="1:63" ht="15.75" customHeight="1">
      <c r="A554" s="3"/>
      <c r="B554" s="3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6"/>
      <c r="AJ554" s="7"/>
      <c r="AK554" s="8"/>
      <c r="AL554" s="7"/>
      <c r="AM554" s="4"/>
      <c r="AN554" s="7"/>
      <c r="AO554" s="7"/>
      <c r="AP554" s="7"/>
      <c r="AQ554" s="4"/>
      <c r="AR554" s="7"/>
      <c r="AS554" s="4"/>
      <c r="AT554" s="7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</row>
    <row r="555" spans="1:63" ht="15.75" customHeight="1">
      <c r="A555" s="3"/>
      <c r="B555" s="3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6"/>
      <c r="AJ555" s="7"/>
      <c r="AK555" s="8"/>
      <c r="AL555" s="7"/>
      <c r="AM555" s="4"/>
      <c r="AN555" s="7"/>
      <c r="AO555" s="7"/>
      <c r="AP555" s="7"/>
      <c r="AQ555" s="4"/>
      <c r="AR555" s="7"/>
      <c r="AS555" s="4"/>
      <c r="AT555" s="7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</row>
    <row r="556" spans="1:63" ht="15.75" customHeight="1">
      <c r="A556" s="3"/>
      <c r="B556" s="3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6"/>
      <c r="AJ556" s="7"/>
      <c r="AK556" s="8"/>
      <c r="AL556" s="7"/>
      <c r="AM556" s="4"/>
      <c r="AN556" s="7"/>
      <c r="AO556" s="7"/>
      <c r="AP556" s="7"/>
      <c r="AQ556" s="4"/>
      <c r="AR556" s="7"/>
      <c r="AS556" s="4"/>
      <c r="AT556" s="7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</row>
    <row r="557" spans="1:63" ht="15.75" customHeight="1">
      <c r="A557" s="3"/>
      <c r="B557" s="3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6"/>
      <c r="AJ557" s="7"/>
      <c r="AK557" s="8"/>
      <c r="AL557" s="7"/>
      <c r="AM557" s="4"/>
      <c r="AN557" s="7"/>
      <c r="AO557" s="7"/>
      <c r="AP557" s="7"/>
      <c r="AQ557" s="4"/>
      <c r="AR557" s="7"/>
      <c r="AS557" s="4"/>
      <c r="AT557" s="7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</row>
    <row r="558" spans="1:63" ht="15.75" customHeight="1">
      <c r="A558" s="3"/>
      <c r="B558" s="3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6"/>
      <c r="AJ558" s="7"/>
      <c r="AK558" s="8"/>
      <c r="AL558" s="7"/>
      <c r="AM558" s="4"/>
      <c r="AN558" s="7"/>
      <c r="AO558" s="7"/>
      <c r="AP558" s="7"/>
      <c r="AQ558" s="4"/>
      <c r="AR558" s="7"/>
      <c r="AS558" s="4"/>
      <c r="AT558" s="7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</row>
    <row r="559" spans="1:63" ht="15.75" customHeight="1">
      <c r="A559" s="3"/>
      <c r="B559" s="3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6"/>
      <c r="AJ559" s="7"/>
      <c r="AK559" s="8"/>
      <c r="AL559" s="7"/>
      <c r="AM559" s="4"/>
      <c r="AN559" s="7"/>
      <c r="AO559" s="7"/>
      <c r="AP559" s="7"/>
      <c r="AQ559" s="4"/>
      <c r="AR559" s="7"/>
      <c r="AS559" s="4"/>
      <c r="AT559" s="7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</row>
    <row r="560" spans="1:63" ht="15.75" customHeight="1">
      <c r="A560" s="3"/>
      <c r="B560" s="3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6"/>
      <c r="AJ560" s="7"/>
      <c r="AK560" s="8"/>
      <c r="AL560" s="7"/>
      <c r="AM560" s="4"/>
      <c r="AN560" s="7"/>
      <c r="AO560" s="7"/>
      <c r="AP560" s="7"/>
      <c r="AQ560" s="4"/>
      <c r="AR560" s="7"/>
      <c r="AS560" s="4"/>
      <c r="AT560" s="7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</row>
    <row r="561" spans="1:63" ht="15.75" customHeight="1">
      <c r="A561" s="3"/>
      <c r="B561" s="3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6"/>
      <c r="AJ561" s="7"/>
      <c r="AK561" s="8"/>
      <c r="AL561" s="7"/>
      <c r="AM561" s="4"/>
      <c r="AN561" s="7"/>
      <c r="AO561" s="7"/>
      <c r="AP561" s="7"/>
      <c r="AQ561" s="4"/>
      <c r="AR561" s="7"/>
      <c r="AS561" s="4"/>
      <c r="AT561" s="7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</row>
    <row r="562" spans="1:63" ht="15.75" customHeight="1">
      <c r="A562" s="3"/>
      <c r="B562" s="3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6"/>
      <c r="AJ562" s="7"/>
      <c r="AK562" s="8"/>
      <c r="AL562" s="7"/>
      <c r="AM562" s="4"/>
      <c r="AN562" s="7"/>
      <c r="AO562" s="7"/>
      <c r="AP562" s="7"/>
      <c r="AQ562" s="4"/>
      <c r="AR562" s="7"/>
      <c r="AS562" s="4"/>
      <c r="AT562" s="7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</row>
    <row r="563" spans="1:63" ht="15.75" customHeight="1">
      <c r="A563" s="3"/>
      <c r="B563" s="3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6"/>
      <c r="AJ563" s="7"/>
      <c r="AK563" s="8"/>
      <c r="AL563" s="7"/>
      <c r="AM563" s="4"/>
      <c r="AN563" s="7"/>
      <c r="AO563" s="7"/>
      <c r="AP563" s="7"/>
      <c r="AQ563" s="4"/>
      <c r="AR563" s="7"/>
      <c r="AS563" s="4"/>
      <c r="AT563" s="7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</row>
    <row r="564" spans="1:63" ht="15.75" customHeight="1">
      <c r="A564" s="3"/>
      <c r="B564" s="3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6"/>
      <c r="AJ564" s="7"/>
      <c r="AK564" s="8"/>
      <c r="AL564" s="7"/>
      <c r="AM564" s="4"/>
      <c r="AN564" s="7"/>
      <c r="AO564" s="7"/>
      <c r="AP564" s="7"/>
      <c r="AQ564" s="4"/>
      <c r="AR564" s="7"/>
      <c r="AS564" s="4"/>
      <c r="AT564" s="7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</row>
    <row r="565" spans="1:63" ht="15.75" customHeight="1">
      <c r="A565" s="3"/>
      <c r="B565" s="3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6"/>
      <c r="AJ565" s="7"/>
      <c r="AK565" s="8"/>
      <c r="AL565" s="7"/>
      <c r="AM565" s="4"/>
      <c r="AN565" s="7"/>
      <c r="AO565" s="7"/>
      <c r="AP565" s="7"/>
      <c r="AQ565" s="4"/>
      <c r="AR565" s="7"/>
      <c r="AS565" s="4"/>
      <c r="AT565" s="7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</row>
    <row r="566" spans="1:63" ht="15.75" customHeight="1">
      <c r="A566" s="3"/>
      <c r="B566" s="3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6"/>
      <c r="AJ566" s="7"/>
      <c r="AK566" s="8"/>
      <c r="AL566" s="7"/>
      <c r="AM566" s="4"/>
      <c r="AN566" s="7"/>
      <c r="AO566" s="7"/>
      <c r="AP566" s="7"/>
      <c r="AQ566" s="4"/>
      <c r="AR566" s="7"/>
      <c r="AS566" s="4"/>
      <c r="AT566" s="7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</row>
    <row r="567" spans="1:63" ht="15.75" customHeight="1">
      <c r="A567" s="3"/>
      <c r="B567" s="3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6"/>
      <c r="AJ567" s="7"/>
      <c r="AK567" s="8"/>
      <c r="AL567" s="7"/>
      <c r="AM567" s="4"/>
      <c r="AN567" s="7"/>
      <c r="AO567" s="7"/>
      <c r="AP567" s="7"/>
      <c r="AQ567" s="4"/>
      <c r="AR567" s="7"/>
      <c r="AS567" s="4"/>
      <c r="AT567" s="7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</row>
    <row r="568" spans="1:63" ht="15.75" customHeight="1">
      <c r="A568" s="3"/>
      <c r="B568" s="3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6"/>
      <c r="AJ568" s="7"/>
      <c r="AK568" s="8"/>
      <c r="AL568" s="7"/>
      <c r="AM568" s="4"/>
      <c r="AN568" s="7"/>
      <c r="AO568" s="7"/>
      <c r="AP568" s="7"/>
      <c r="AQ568" s="4"/>
      <c r="AR568" s="7"/>
      <c r="AS568" s="4"/>
      <c r="AT568" s="7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</row>
    <row r="569" spans="1:63" ht="15.75" customHeight="1">
      <c r="A569" s="3"/>
      <c r="B569" s="3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6"/>
      <c r="AJ569" s="7"/>
      <c r="AK569" s="8"/>
      <c r="AL569" s="7"/>
      <c r="AM569" s="4"/>
      <c r="AN569" s="7"/>
      <c r="AO569" s="7"/>
      <c r="AP569" s="7"/>
      <c r="AQ569" s="4"/>
      <c r="AR569" s="7"/>
      <c r="AS569" s="4"/>
      <c r="AT569" s="7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</row>
    <row r="570" spans="1:63" ht="15.75" customHeight="1">
      <c r="A570" s="3"/>
      <c r="B570" s="3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6"/>
      <c r="AJ570" s="7"/>
      <c r="AK570" s="8"/>
      <c r="AL570" s="7"/>
      <c r="AM570" s="4"/>
      <c r="AN570" s="7"/>
      <c r="AO570" s="7"/>
      <c r="AP570" s="7"/>
      <c r="AQ570" s="4"/>
      <c r="AR570" s="7"/>
      <c r="AS570" s="4"/>
      <c r="AT570" s="7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</row>
    <row r="571" spans="1:63" ht="15.75" customHeight="1">
      <c r="A571" s="3"/>
      <c r="B571" s="3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6"/>
      <c r="AJ571" s="7"/>
      <c r="AK571" s="8"/>
      <c r="AL571" s="7"/>
      <c r="AM571" s="4"/>
      <c r="AN571" s="7"/>
      <c r="AO571" s="7"/>
      <c r="AP571" s="7"/>
      <c r="AQ571" s="4"/>
      <c r="AR571" s="7"/>
      <c r="AS571" s="4"/>
      <c r="AT571" s="7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</row>
    <row r="572" spans="1:63" ht="15.75" customHeight="1">
      <c r="A572" s="3"/>
      <c r="B572" s="3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6"/>
      <c r="AJ572" s="7"/>
      <c r="AK572" s="8"/>
      <c r="AL572" s="7"/>
      <c r="AM572" s="4"/>
      <c r="AN572" s="7"/>
      <c r="AO572" s="7"/>
      <c r="AP572" s="7"/>
      <c r="AQ572" s="4"/>
      <c r="AR572" s="7"/>
      <c r="AS572" s="4"/>
      <c r="AT572" s="7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</row>
    <row r="573" spans="1:63" ht="15.75" customHeight="1">
      <c r="A573" s="3"/>
      <c r="B573" s="3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6"/>
      <c r="AJ573" s="7"/>
      <c r="AK573" s="8"/>
      <c r="AL573" s="7"/>
      <c r="AM573" s="4"/>
      <c r="AN573" s="7"/>
      <c r="AO573" s="7"/>
      <c r="AP573" s="7"/>
      <c r="AQ573" s="4"/>
      <c r="AR573" s="7"/>
      <c r="AS573" s="4"/>
      <c r="AT573" s="7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</row>
    <row r="574" spans="1:63" ht="15.75" customHeight="1">
      <c r="A574" s="3"/>
      <c r="B574" s="3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6"/>
      <c r="AJ574" s="7"/>
      <c r="AK574" s="8"/>
      <c r="AL574" s="7"/>
      <c r="AM574" s="4"/>
      <c r="AN574" s="7"/>
      <c r="AO574" s="7"/>
      <c r="AP574" s="7"/>
      <c r="AQ574" s="4"/>
      <c r="AR574" s="7"/>
      <c r="AS574" s="4"/>
      <c r="AT574" s="7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</row>
    <row r="575" spans="1:63" ht="15.75" customHeight="1">
      <c r="A575" s="3"/>
      <c r="B575" s="3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6"/>
      <c r="AJ575" s="7"/>
      <c r="AK575" s="8"/>
      <c r="AL575" s="7"/>
      <c r="AM575" s="4"/>
      <c r="AN575" s="7"/>
      <c r="AO575" s="7"/>
      <c r="AP575" s="7"/>
      <c r="AQ575" s="4"/>
      <c r="AR575" s="7"/>
      <c r="AS575" s="4"/>
      <c r="AT575" s="7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</row>
    <row r="576" spans="1:63" ht="15.75" customHeight="1">
      <c r="A576" s="3"/>
      <c r="B576" s="3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6"/>
      <c r="AJ576" s="7"/>
      <c r="AK576" s="8"/>
      <c r="AL576" s="7"/>
      <c r="AM576" s="4"/>
      <c r="AN576" s="7"/>
      <c r="AO576" s="7"/>
      <c r="AP576" s="7"/>
      <c r="AQ576" s="4"/>
      <c r="AR576" s="7"/>
      <c r="AS576" s="4"/>
      <c r="AT576" s="7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</row>
    <row r="577" spans="1:63" ht="15.75" customHeight="1">
      <c r="A577" s="3"/>
      <c r="B577" s="3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6"/>
      <c r="AJ577" s="7"/>
      <c r="AK577" s="8"/>
      <c r="AL577" s="7"/>
      <c r="AM577" s="4"/>
      <c r="AN577" s="7"/>
      <c r="AO577" s="7"/>
      <c r="AP577" s="7"/>
      <c r="AQ577" s="4"/>
      <c r="AR577" s="7"/>
      <c r="AS577" s="4"/>
      <c r="AT577" s="7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</row>
    <row r="578" spans="1:63" ht="15.75" customHeight="1">
      <c r="A578" s="3"/>
      <c r="B578" s="3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6"/>
      <c r="AJ578" s="7"/>
      <c r="AK578" s="8"/>
      <c r="AL578" s="7"/>
      <c r="AM578" s="4"/>
      <c r="AN578" s="7"/>
      <c r="AO578" s="7"/>
      <c r="AP578" s="7"/>
      <c r="AQ578" s="4"/>
      <c r="AR578" s="7"/>
      <c r="AS578" s="4"/>
      <c r="AT578" s="7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</row>
    <row r="579" spans="1:63" ht="15.75" customHeight="1">
      <c r="A579" s="3"/>
      <c r="B579" s="3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6"/>
      <c r="AJ579" s="7"/>
      <c r="AK579" s="8"/>
      <c r="AL579" s="7"/>
      <c r="AM579" s="4"/>
      <c r="AN579" s="7"/>
      <c r="AO579" s="7"/>
      <c r="AP579" s="7"/>
      <c r="AQ579" s="4"/>
      <c r="AR579" s="7"/>
      <c r="AS579" s="4"/>
      <c r="AT579" s="7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</row>
    <row r="580" spans="1:63" ht="15.75" customHeight="1">
      <c r="A580" s="3"/>
      <c r="B580" s="3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6"/>
      <c r="AJ580" s="7"/>
      <c r="AK580" s="8"/>
      <c r="AL580" s="7"/>
      <c r="AM580" s="4"/>
      <c r="AN580" s="7"/>
      <c r="AO580" s="7"/>
      <c r="AP580" s="7"/>
      <c r="AQ580" s="4"/>
      <c r="AR580" s="7"/>
      <c r="AS580" s="4"/>
      <c r="AT580" s="7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</row>
    <row r="581" spans="1:63" ht="15.75" customHeight="1">
      <c r="A581" s="3"/>
      <c r="B581" s="3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6"/>
      <c r="AJ581" s="7"/>
      <c r="AK581" s="8"/>
      <c r="AL581" s="7"/>
      <c r="AM581" s="4"/>
      <c r="AN581" s="7"/>
      <c r="AO581" s="7"/>
      <c r="AP581" s="7"/>
      <c r="AQ581" s="4"/>
      <c r="AR581" s="7"/>
      <c r="AS581" s="4"/>
      <c r="AT581" s="7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</row>
    <row r="582" spans="1:63" ht="15.75" customHeight="1">
      <c r="A582" s="3"/>
      <c r="B582" s="3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6"/>
      <c r="AJ582" s="7"/>
      <c r="AK582" s="8"/>
      <c r="AL582" s="7"/>
      <c r="AM582" s="4"/>
      <c r="AN582" s="7"/>
      <c r="AO582" s="7"/>
      <c r="AP582" s="7"/>
      <c r="AQ582" s="4"/>
      <c r="AR582" s="7"/>
      <c r="AS582" s="4"/>
      <c r="AT582" s="7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</row>
    <row r="583" spans="1:63" ht="15.75" customHeight="1">
      <c r="A583" s="3"/>
      <c r="B583" s="3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6"/>
      <c r="AJ583" s="7"/>
      <c r="AK583" s="8"/>
      <c r="AL583" s="7"/>
      <c r="AM583" s="4"/>
      <c r="AN583" s="7"/>
      <c r="AO583" s="7"/>
      <c r="AP583" s="7"/>
      <c r="AQ583" s="4"/>
      <c r="AR583" s="7"/>
      <c r="AS583" s="4"/>
      <c r="AT583" s="7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</row>
    <row r="584" spans="1:63" ht="15.75" customHeight="1">
      <c r="A584" s="3"/>
      <c r="B584" s="3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6"/>
      <c r="AJ584" s="7"/>
      <c r="AK584" s="8"/>
      <c r="AL584" s="7"/>
      <c r="AM584" s="4"/>
      <c r="AN584" s="7"/>
      <c r="AO584" s="7"/>
      <c r="AP584" s="7"/>
      <c r="AQ584" s="4"/>
      <c r="AR584" s="7"/>
      <c r="AS584" s="4"/>
      <c r="AT584" s="7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</row>
    <row r="585" spans="1:63" ht="15.75" customHeight="1">
      <c r="A585" s="3"/>
      <c r="B585" s="3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6"/>
      <c r="AJ585" s="7"/>
      <c r="AK585" s="8"/>
      <c r="AL585" s="7"/>
      <c r="AM585" s="4"/>
      <c r="AN585" s="7"/>
      <c r="AO585" s="7"/>
      <c r="AP585" s="7"/>
      <c r="AQ585" s="4"/>
      <c r="AR585" s="7"/>
      <c r="AS585" s="4"/>
      <c r="AT585" s="7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</row>
    <row r="586" spans="1:63" ht="15.75" customHeight="1">
      <c r="A586" s="3"/>
      <c r="B586" s="3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6"/>
      <c r="AJ586" s="7"/>
      <c r="AK586" s="8"/>
      <c r="AL586" s="7"/>
      <c r="AM586" s="4"/>
      <c r="AN586" s="7"/>
      <c r="AO586" s="7"/>
      <c r="AP586" s="7"/>
      <c r="AQ586" s="4"/>
      <c r="AR586" s="7"/>
      <c r="AS586" s="4"/>
      <c r="AT586" s="7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</row>
    <row r="587" spans="1:63" ht="15.75" customHeight="1">
      <c r="A587" s="3"/>
      <c r="B587" s="3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6"/>
      <c r="AJ587" s="7"/>
      <c r="AK587" s="8"/>
      <c r="AL587" s="7"/>
      <c r="AM587" s="4"/>
      <c r="AN587" s="7"/>
      <c r="AO587" s="7"/>
      <c r="AP587" s="7"/>
      <c r="AQ587" s="4"/>
      <c r="AR587" s="7"/>
      <c r="AS587" s="4"/>
      <c r="AT587" s="7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</row>
    <row r="588" spans="1:63" ht="15.75" customHeight="1">
      <c r="A588" s="3"/>
      <c r="B588" s="3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6"/>
      <c r="AJ588" s="7"/>
      <c r="AK588" s="8"/>
      <c r="AL588" s="7"/>
      <c r="AM588" s="4"/>
      <c r="AN588" s="7"/>
      <c r="AO588" s="7"/>
      <c r="AP588" s="7"/>
      <c r="AQ588" s="4"/>
      <c r="AR588" s="7"/>
      <c r="AS588" s="4"/>
      <c r="AT588" s="7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</row>
    <row r="589" spans="1:63" ht="15.75" customHeight="1">
      <c r="A589" s="3"/>
      <c r="B589" s="3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6"/>
      <c r="AJ589" s="7"/>
      <c r="AK589" s="8"/>
      <c r="AL589" s="7"/>
      <c r="AM589" s="4"/>
      <c r="AN589" s="7"/>
      <c r="AO589" s="7"/>
      <c r="AP589" s="7"/>
      <c r="AQ589" s="4"/>
      <c r="AR589" s="7"/>
      <c r="AS589" s="4"/>
      <c r="AT589" s="7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</row>
    <row r="590" spans="1:63" ht="15.75" customHeight="1">
      <c r="A590" s="3"/>
      <c r="B590" s="3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6"/>
      <c r="AJ590" s="7"/>
      <c r="AK590" s="8"/>
      <c r="AL590" s="7"/>
      <c r="AM590" s="4"/>
      <c r="AN590" s="7"/>
      <c r="AO590" s="7"/>
      <c r="AP590" s="7"/>
      <c r="AQ590" s="4"/>
      <c r="AR590" s="7"/>
      <c r="AS590" s="4"/>
      <c r="AT590" s="7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</row>
    <row r="591" spans="1:63" ht="15.75" customHeight="1">
      <c r="A591" s="3"/>
      <c r="B591" s="3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6"/>
      <c r="AJ591" s="7"/>
      <c r="AK591" s="8"/>
      <c r="AL591" s="7"/>
      <c r="AM591" s="4"/>
      <c r="AN591" s="7"/>
      <c r="AO591" s="7"/>
      <c r="AP591" s="7"/>
      <c r="AQ591" s="4"/>
      <c r="AR591" s="7"/>
      <c r="AS591" s="4"/>
      <c r="AT591" s="7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</row>
    <row r="592" spans="1:63" ht="15.75" customHeight="1">
      <c r="A592" s="3"/>
      <c r="B592" s="3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6"/>
      <c r="AJ592" s="7"/>
      <c r="AK592" s="8"/>
      <c r="AL592" s="7"/>
      <c r="AM592" s="4"/>
      <c r="AN592" s="7"/>
      <c r="AO592" s="7"/>
      <c r="AP592" s="7"/>
      <c r="AQ592" s="4"/>
      <c r="AR592" s="7"/>
      <c r="AS592" s="4"/>
      <c r="AT592" s="7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</row>
    <row r="593" spans="1:63" ht="15.75" customHeight="1">
      <c r="A593" s="3"/>
      <c r="B593" s="3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6"/>
      <c r="AJ593" s="7"/>
      <c r="AK593" s="8"/>
      <c r="AL593" s="7"/>
      <c r="AM593" s="4"/>
      <c r="AN593" s="7"/>
      <c r="AO593" s="7"/>
      <c r="AP593" s="7"/>
      <c r="AQ593" s="4"/>
      <c r="AR593" s="7"/>
      <c r="AS593" s="4"/>
      <c r="AT593" s="7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</row>
    <row r="594" spans="1:63" ht="15.75" customHeight="1">
      <c r="A594" s="3"/>
      <c r="B594" s="3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6"/>
      <c r="AJ594" s="7"/>
      <c r="AK594" s="8"/>
      <c r="AL594" s="7"/>
      <c r="AM594" s="4"/>
      <c r="AN594" s="7"/>
      <c r="AO594" s="7"/>
      <c r="AP594" s="7"/>
      <c r="AQ594" s="4"/>
      <c r="AR594" s="7"/>
      <c r="AS594" s="4"/>
      <c r="AT594" s="7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</row>
    <row r="595" spans="1:63" ht="15.75" customHeight="1">
      <c r="A595" s="3"/>
      <c r="B595" s="3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6"/>
      <c r="AJ595" s="7"/>
      <c r="AK595" s="8"/>
      <c r="AL595" s="7"/>
      <c r="AM595" s="4"/>
      <c r="AN595" s="7"/>
      <c r="AO595" s="7"/>
      <c r="AP595" s="7"/>
      <c r="AQ595" s="4"/>
      <c r="AR595" s="7"/>
      <c r="AS595" s="4"/>
      <c r="AT595" s="7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</row>
    <row r="596" spans="1:63" ht="15.75" customHeight="1">
      <c r="A596" s="3"/>
      <c r="B596" s="3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6"/>
      <c r="AJ596" s="7"/>
      <c r="AK596" s="8"/>
      <c r="AL596" s="7"/>
      <c r="AM596" s="4"/>
      <c r="AN596" s="7"/>
      <c r="AO596" s="7"/>
      <c r="AP596" s="7"/>
      <c r="AQ596" s="4"/>
      <c r="AR596" s="7"/>
      <c r="AS596" s="4"/>
      <c r="AT596" s="7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</row>
    <row r="597" spans="1:63" ht="15.75" customHeight="1">
      <c r="A597" s="3"/>
      <c r="B597" s="3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6"/>
      <c r="AJ597" s="7"/>
      <c r="AK597" s="8"/>
      <c r="AL597" s="7"/>
      <c r="AM597" s="4"/>
      <c r="AN597" s="7"/>
      <c r="AO597" s="7"/>
      <c r="AP597" s="7"/>
      <c r="AQ597" s="4"/>
      <c r="AR597" s="7"/>
      <c r="AS597" s="4"/>
      <c r="AT597" s="7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</row>
    <row r="598" spans="1:63" ht="15.75" customHeight="1">
      <c r="A598" s="3"/>
      <c r="B598" s="3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6"/>
      <c r="AJ598" s="7"/>
      <c r="AK598" s="8"/>
      <c r="AL598" s="7"/>
      <c r="AM598" s="4"/>
      <c r="AN598" s="7"/>
      <c r="AO598" s="7"/>
      <c r="AP598" s="7"/>
      <c r="AQ598" s="4"/>
      <c r="AR598" s="7"/>
      <c r="AS598" s="4"/>
      <c r="AT598" s="7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</row>
    <row r="599" spans="1:63" ht="15.75" customHeight="1">
      <c r="A599" s="3"/>
      <c r="B599" s="3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6"/>
      <c r="AJ599" s="7"/>
      <c r="AK599" s="8"/>
      <c r="AL599" s="7"/>
      <c r="AM599" s="4"/>
      <c r="AN599" s="7"/>
      <c r="AO599" s="7"/>
      <c r="AP599" s="7"/>
      <c r="AQ599" s="4"/>
      <c r="AR599" s="7"/>
      <c r="AS599" s="4"/>
      <c r="AT599" s="7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</row>
    <row r="600" spans="1:63" ht="15.75" customHeight="1">
      <c r="A600" s="3"/>
      <c r="B600" s="3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6"/>
      <c r="AJ600" s="7"/>
      <c r="AK600" s="8"/>
      <c r="AL600" s="7"/>
      <c r="AM600" s="4"/>
      <c r="AN600" s="7"/>
      <c r="AO600" s="7"/>
      <c r="AP600" s="7"/>
      <c r="AQ600" s="4"/>
      <c r="AR600" s="7"/>
      <c r="AS600" s="4"/>
      <c r="AT600" s="7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</row>
    <row r="601" spans="1:63" ht="15.75" customHeight="1">
      <c r="A601" s="3"/>
      <c r="B601" s="3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6"/>
      <c r="AJ601" s="7"/>
      <c r="AK601" s="8"/>
      <c r="AL601" s="7"/>
      <c r="AM601" s="4"/>
      <c r="AN601" s="7"/>
      <c r="AO601" s="7"/>
      <c r="AP601" s="7"/>
      <c r="AQ601" s="4"/>
      <c r="AR601" s="7"/>
      <c r="AS601" s="4"/>
      <c r="AT601" s="7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</row>
    <row r="602" spans="1:63" ht="15.75" customHeight="1">
      <c r="A602" s="3"/>
      <c r="B602" s="3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6"/>
      <c r="AJ602" s="7"/>
      <c r="AK602" s="8"/>
      <c r="AL602" s="7"/>
      <c r="AM602" s="4"/>
      <c r="AN602" s="7"/>
      <c r="AO602" s="7"/>
      <c r="AP602" s="7"/>
      <c r="AQ602" s="4"/>
      <c r="AR602" s="7"/>
      <c r="AS602" s="4"/>
      <c r="AT602" s="7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</row>
    <row r="603" spans="1:63" ht="15.75" customHeight="1">
      <c r="A603" s="3"/>
      <c r="B603" s="3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6"/>
      <c r="AJ603" s="7"/>
      <c r="AK603" s="8"/>
      <c r="AL603" s="7"/>
      <c r="AM603" s="4"/>
      <c r="AN603" s="7"/>
      <c r="AO603" s="7"/>
      <c r="AP603" s="7"/>
      <c r="AQ603" s="4"/>
      <c r="AR603" s="7"/>
      <c r="AS603" s="4"/>
      <c r="AT603" s="7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</row>
    <row r="604" spans="1:63" ht="15.75" customHeight="1">
      <c r="A604" s="3"/>
      <c r="B604" s="3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6"/>
      <c r="AJ604" s="7"/>
      <c r="AK604" s="8"/>
      <c r="AL604" s="7"/>
      <c r="AM604" s="4"/>
      <c r="AN604" s="7"/>
      <c r="AO604" s="7"/>
      <c r="AP604" s="7"/>
      <c r="AQ604" s="4"/>
      <c r="AR604" s="7"/>
      <c r="AS604" s="4"/>
      <c r="AT604" s="7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</row>
    <row r="605" spans="1:63" ht="15.75" customHeight="1">
      <c r="A605" s="3"/>
      <c r="B605" s="3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6"/>
      <c r="AJ605" s="7"/>
      <c r="AK605" s="8"/>
      <c r="AL605" s="7"/>
      <c r="AM605" s="4"/>
      <c r="AN605" s="7"/>
      <c r="AO605" s="7"/>
      <c r="AP605" s="7"/>
      <c r="AQ605" s="4"/>
      <c r="AR605" s="7"/>
      <c r="AS605" s="4"/>
      <c r="AT605" s="7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</row>
    <row r="606" spans="1:63" ht="15.75" customHeight="1">
      <c r="A606" s="3"/>
      <c r="B606" s="3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6"/>
      <c r="AJ606" s="7"/>
      <c r="AK606" s="8"/>
      <c r="AL606" s="7"/>
      <c r="AM606" s="4"/>
      <c r="AN606" s="7"/>
      <c r="AO606" s="7"/>
      <c r="AP606" s="7"/>
      <c r="AQ606" s="4"/>
      <c r="AR606" s="7"/>
      <c r="AS606" s="4"/>
      <c r="AT606" s="7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</row>
    <row r="607" spans="1:63" ht="15.75" customHeight="1">
      <c r="A607" s="3"/>
      <c r="B607" s="3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6"/>
      <c r="AJ607" s="7"/>
      <c r="AK607" s="8"/>
      <c r="AL607" s="7"/>
      <c r="AM607" s="4"/>
      <c r="AN607" s="7"/>
      <c r="AO607" s="7"/>
      <c r="AP607" s="7"/>
      <c r="AQ607" s="4"/>
      <c r="AR607" s="7"/>
      <c r="AS607" s="4"/>
      <c r="AT607" s="7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</row>
    <row r="608" spans="1:63" ht="15.75" customHeight="1">
      <c r="A608" s="3"/>
      <c r="B608" s="3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6"/>
      <c r="AJ608" s="7"/>
      <c r="AK608" s="8"/>
      <c r="AL608" s="7"/>
      <c r="AM608" s="4"/>
      <c r="AN608" s="7"/>
      <c r="AO608" s="7"/>
      <c r="AP608" s="7"/>
      <c r="AQ608" s="4"/>
      <c r="AR608" s="7"/>
      <c r="AS608" s="4"/>
      <c r="AT608" s="7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</row>
    <row r="609" spans="1:63" ht="15.75" customHeight="1">
      <c r="A609" s="3"/>
      <c r="B609" s="3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6"/>
      <c r="AJ609" s="7"/>
      <c r="AK609" s="8"/>
      <c r="AL609" s="7"/>
      <c r="AM609" s="4"/>
      <c r="AN609" s="7"/>
      <c r="AO609" s="7"/>
      <c r="AP609" s="7"/>
      <c r="AQ609" s="4"/>
      <c r="AR609" s="7"/>
      <c r="AS609" s="4"/>
      <c r="AT609" s="7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</row>
    <row r="610" spans="1:63" ht="15.75" customHeight="1">
      <c r="A610" s="3"/>
      <c r="B610" s="3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6"/>
      <c r="AJ610" s="7"/>
      <c r="AK610" s="8"/>
      <c r="AL610" s="7"/>
      <c r="AM610" s="4"/>
      <c r="AN610" s="7"/>
      <c r="AO610" s="7"/>
      <c r="AP610" s="7"/>
      <c r="AQ610" s="4"/>
      <c r="AR610" s="7"/>
      <c r="AS610" s="4"/>
      <c r="AT610" s="7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</row>
    <row r="611" spans="1:63" ht="15.75" customHeight="1">
      <c r="A611" s="3"/>
      <c r="B611" s="3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6"/>
      <c r="AJ611" s="7"/>
      <c r="AK611" s="8"/>
      <c r="AL611" s="7"/>
      <c r="AM611" s="4"/>
      <c r="AN611" s="7"/>
      <c r="AO611" s="7"/>
      <c r="AP611" s="7"/>
      <c r="AQ611" s="4"/>
      <c r="AR611" s="7"/>
      <c r="AS611" s="4"/>
      <c r="AT611" s="7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</row>
    <row r="612" spans="1:63" ht="15.75" customHeight="1">
      <c r="A612" s="3"/>
      <c r="B612" s="3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6"/>
      <c r="AJ612" s="7"/>
      <c r="AK612" s="8"/>
      <c r="AL612" s="7"/>
      <c r="AM612" s="4"/>
      <c r="AN612" s="7"/>
      <c r="AO612" s="7"/>
      <c r="AP612" s="7"/>
      <c r="AQ612" s="4"/>
      <c r="AR612" s="7"/>
      <c r="AS612" s="4"/>
      <c r="AT612" s="7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</row>
    <row r="613" spans="1:63" ht="15.75" customHeight="1">
      <c r="A613" s="3"/>
      <c r="B613" s="3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6"/>
      <c r="AJ613" s="7"/>
      <c r="AK613" s="8"/>
      <c r="AL613" s="7"/>
      <c r="AM613" s="4"/>
      <c r="AN613" s="7"/>
      <c r="AO613" s="7"/>
      <c r="AP613" s="7"/>
      <c r="AQ613" s="4"/>
      <c r="AR613" s="7"/>
      <c r="AS613" s="4"/>
      <c r="AT613" s="7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</row>
    <row r="614" spans="1:63" ht="15.75" customHeight="1">
      <c r="A614" s="3"/>
      <c r="B614" s="3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6"/>
      <c r="AJ614" s="7"/>
      <c r="AK614" s="8"/>
      <c r="AL614" s="7"/>
      <c r="AM614" s="4"/>
      <c r="AN614" s="7"/>
      <c r="AO614" s="7"/>
      <c r="AP614" s="7"/>
      <c r="AQ614" s="4"/>
      <c r="AR614" s="7"/>
      <c r="AS614" s="4"/>
      <c r="AT614" s="7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</row>
    <row r="615" spans="1:63" ht="15.75" customHeight="1">
      <c r="A615" s="3"/>
      <c r="B615" s="3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6"/>
      <c r="AJ615" s="7"/>
      <c r="AK615" s="8"/>
      <c r="AL615" s="7"/>
      <c r="AM615" s="4"/>
      <c r="AN615" s="7"/>
      <c r="AO615" s="7"/>
      <c r="AP615" s="7"/>
      <c r="AQ615" s="4"/>
      <c r="AR615" s="7"/>
      <c r="AS615" s="4"/>
      <c r="AT615" s="7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</row>
    <row r="616" spans="1:63" ht="15.75" customHeight="1">
      <c r="A616" s="3"/>
      <c r="B616" s="3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6"/>
      <c r="AJ616" s="7"/>
      <c r="AK616" s="8"/>
      <c r="AL616" s="7"/>
      <c r="AM616" s="4"/>
      <c r="AN616" s="7"/>
      <c r="AO616" s="7"/>
      <c r="AP616" s="7"/>
      <c r="AQ616" s="4"/>
      <c r="AR616" s="7"/>
      <c r="AS616" s="4"/>
      <c r="AT616" s="7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</row>
    <row r="617" spans="1:63" ht="15.75" customHeight="1">
      <c r="A617" s="3"/>
      <c r="B617" s="3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6"/>
      <c r="AJ617" s="7"/>
      <c r="AK617" s="8"/>
      <c r="AL617" s="7"/>
      <c r="AM617" s="4"/>
      <c r="AN617" s="7"/>
      <c r="AO617" s="7"/>
      <c r="AP617" s="7"/>
      <c r="AQ617" s="4"/>
      <c r="AR617" s="7"/>
      <c r="AS617" s="4"/>
      <c r="AT617" s="7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</row>
    <row r="618" spans="1:63" ht="15.75" customHeight="1">
      <c r="A618" s="3"/>
      <c r="B618" s="3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6"/>
      <c r="AJ618" s="7"/>
      <c r="AK618" s="8"/>
      <c r="AL618" s="7"/>
      <c r="AM618" s="4"/>
      <c r="AN618" s="7"/>
      <c r="AO618" s="7"/>
      <c r="AP618" s="7"/>
      <c r="AQ618" s="4"/>
      <c r="AR618" s="7"/>
      <c r="AS618" s="4"/>
      <c r="AT618" s="7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</row>
    <row r="619" spans="1:63" ht="15.75" customHeight="1">
      <c r="A619" s="3"/>
      <c r="B619" s="3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6"/>
      <c r="AJ619" s="7"/>
      <c r="AK619" s="8"/>
      <c r="AL619" s="7"/>
      <c r="AM619" s="4"/>
      <c r="AN619" s="7"/>
      <c r="AO619" s="7"/>
      <c r="AP619" s="7"/>
      <c r="AQ619" s="4"/>
      <c r="AR619" s="7"/>
      <c r="AS619" s="4"/>
      <c r="AT619" s="7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</row>
    <row r="620" spans="1:63" ht="15.75" customHeight="1">
      <c r="A620" s="3"/>
      <c r="B620" s="3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6"/>
      <c r="AJ620" s="7"/>
      <c r="AK620" s="8"/>
      <c r="AL620" s="7"/>
      <c r="AM620" s="4"/>
      <c r="AN620" s="7"/>
      <c r="AO620" s="7"/>
      <c r="AP620" s="7"/>
      <c r="AQ620" s="4"/>
      <c r="AR620" s="7"/>
      <c r="AS620" s="4"/>
      <c r="AT620" s="7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</row>
    <row r="621" spans="1:63" ht="15.75" customHeight="1">
      <c r="A621" s="3"/>
      <c r="B621" s="3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6"/>
      <c r="AJ621" s="7"/>
      <c r="AK621" s="8"/>
      <c r="AL621" s="7"/>
      <c r="AM621" s="4"/>
      <c r="AN621" s="7"/>
      <c r="AO621" s="7"/>
      <c r="AP621" s="7"/>
      <c r="AQ621" s="4"/>
      <c r="AR621" s="7"/>
      <c r="AS621" s="4"/>
      <c r="AT621" s="7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</row>
    <row r="622" spans="1:63" ht="15.75" customHeight="1">
      <c r="A622" s="3"/>
      <c r="B622" s="3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6"/>
      <c r="AJ622" s="7"/>
      <c r="AK622" s="8"/>
      <c r="AL622" s="7"/>
      <c r="AM622" s="4"/>
      <c r="AN622" s="7"/>
      <c r="AO622" s="7"/>
      <c r="AP622" s="7"/>
      <c r="AQ622" s="4"/>
      <c r="AR622" s="7"/>
      <c r="AS622" s="4"/>
      <c r="AT622" s="7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</row>
    <row r="623" spans="1:63" ht="15.75" customHeight="1">
      <c r="A623" s="3"/>
      <c r="B623" s="3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6"/>
      <c r="AJ623" s="7"/>
      <c r="AK623" s="8"/>
      <c r="AL623" s="7"/>
      <c r="AM623" s="4"/>
      <c r="AN623" s="7"/>
      <c r="AO623" s="7"/>
      <c r="AP623" s="7"/>
      <c r="AQ623" s="4"/>
      <c r="AR623" s="7"/>
      <c r="AS623" s="4"/>
      <c r="AT623" s="7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</row>
    <row r="624" spans="1:63" ht="15.75" customHeight="1">
      <c r="A624" s="3"/>
      <c r="B624" s="3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6"/>
      <c r="AJ624" s="7"/>
      <c r="AK624" s="8"/>
      <c r="AL624" s="7"/>
      <c r="AM624" s="4"/>
      <c r="AN624" s="7"/>
      <c r="AO624" s="7"/>
      <c r="AP624" s="7"/>
      <c r="AQ624" s="4"/>
      <c r="AR624" s="7"/>
      <c r="AS624" s="4"/>
      <c r="AT624" s="7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</row>
    <row r="625" spans="1:63" ht="15.75" customHeight="1">
      <c r="A625" s="3"/>
      <c r="B625" s="3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6"/>
      <c r="AJ625" s="7"/>
      <c r="AK625" s="8"/>
      <c r="AL625" s="7"/>
      <c r="AM625" s="4"/>
      <c r="AN625" s="7"/>
      <c r="AO625" s="7"/>
      <c r="AP625" s="7"/>
      <c r="AQ625" s="4"/>
      <c r="AR625" s="7"/>
      <c r="AS625" s="4"/>
      <c r="AT625" s="7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</row>
    <row r="626" spans="1:63" ht="15.75" customHeight="1">
      <c r="A626" s="3"/>
      <c r="B626" s="3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6"/>
      <c r="AJ626" s="7"/>
      <c r="AK626" s="8"/>
      <c r="AL626" s="7"/>
      <c r="AM626" s="4"/>
      <c r="AN626" s="7"/>
      <c r="AO626" s="7"/>
      <c r="AP626" s="7"/>
      <c r="AQ626" s="4"/>
      <c r="AR626" s="7"/>
      <c r="AS626" s="4"/>
      <c r="AT626" s="7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</row>
    <row r="627" spans="1:63" ht="15.75" customHeight="1">
      <c r="A627" s="3"/>
      <c r="B627" s="3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6"/>
      <c r="AJ627" s="7"/>
      <c r="AK627" s="8"/>
      <c r="AL627" s="7"/>
      <c r="AM627" s="4"/>
      <c r="AN627" s="7"/>
      <c r="AO627" s="7"/>
      <c r="AP627" s="7"/>
      <c r="AQ627" s="4"/>
      <c r="AR627" s="7"/>
      <c r="AS627" s="4"/>
      <c r="AT627" s="7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</row>
    <row r="628" spans="1:63" ht="15.75" customHeight="1">
      <c r="A628" s="3"/>
      <c r="B628" s="3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6"/>
      <c r="AJ628" s="7"/>
      <c r="AK628" s="8"/>
      <c r="AL628" s="7"/>
      <c r="AM628" s="4"/>
      <c r="AN628" s="7"/>
      <c r="AO628" s="7"/>
      <c r="AP628" s="7"/>
      <c r="AQ628" s="4"/>
      <c r="AR628" s="7"/>
      <c r="AS628" s="4"/>
      <c r="AT628" s="7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</row>
    <row r="629" spans="1:63" ht="15.75" customHeight="1">
      <c r="A629" s="3"/>
      <c r="B629" s="3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6"/>
      <c r="AJ629" s="7"/>
      <c r="AK629" s="8"/>
      <c r="AL629" s="7"/>
      <c r="AM629" s="4"/>
      <c r="AN629" s="7"/>
      <c r="AO629" s="7"/>
      <c r="AP629" s="7"/>
      <c r="AQ629" s="4"/>
      <c r="AR629" s="7"/>
      <c r="AS629" s="4"/>
      <c r="AT629" s="7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</row>
    <row r="630" spans="1:63" ht="15.75" customHeight="1">
      <c r="A630" s="3"/>
      <c r="B630" s="3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6"/>
      <c r="AJ630" s="7"/>
      <c r="AK630" s="8"/>
      <c r="AL630" s="7"/>
      <c r="AM630" s="4"/>
      <c r="AN630" s="7"/>
      <c r="AO630" s="7"/>
      <c r="AP630" s="7"/>
      <c r="AQ630" s="4"/>
      <c r="AR630" s="7"/>
      <c r="AS630" s="4"/>
      <c r="AT630" s="7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</row>
    <row r="631" spans="1:63" ht="15.75" customHeight="1">
      <c r="A631" s="3"/>
      <c r="B631" s="3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6"/>
      <c r="AJ631" s="7"/>
      <c r="AK631" s="8"/>
      <c r="AL631" s="7"/>
      <c r="AM631" s="4"/>
      <c r="AN631" s="7"/>
      <c r="AO631" s="7"/>
      <c r="AP631" s="7"/>
      <c r="AQ631" s="4"/>
      <c r="AR631" s="7"/>
      <c r="AS631" s="4"/>
      <c r="AT631" s="7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</row>
    <row r="632" spans="1:63" ht="15.75" customHeight="1">
      <c r="A632" s="3"/>
      <c r="B632" s="3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6"/>
      <c r="AJ632" s="7"/>
      <c r="AK632" s="8"/>
      <c r="AL632" s="7"/>
      <c r="AM632" s="4"/>
      <c r="AN632" s="7"/>
      <c r="AO632" s="7"/>
      <c r="AP632" s="7"/>
      <c r="AQ632" s="4"/>
      <c r="AR632" s="7"/>
      <c r="AS632" s="4"/>
      <c r="AT632" s="7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</row>
    <row r="633" spans="1:63" ht="15.75" customHeight="1">
      <c r="A633" s="3"/>
      <c r="B633" s="3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6"/>
      <c r="AJ633" s="7"/>
      <c r="AK633" s="8"/>
      <c r="AL633" s="7"/>
      <c r="AM633" s="4"/>
      <c r="AN633" s="7"/>
      <c r="AO633" s="7"/>
      <c r="AP633" s="7"/>
      <c r="AQ633" s="4"/>
      <c r="AR633" s="7"/>
      <c r="AS633" s="4"/>
      <c r="AT633" s="7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</row>
    <row r="634" spans="1:63" ht="15.75" customHeight="1">
      <c r="A634" s="3"/>
      <c r="B634" s="3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6"/>
      <c r="AJ634" s="7"/>
      <c r="AK634" s="8"/>
      <c r="AL634" s="7"/>
      <c r="AM634" s="4"/>
      <c r="AN634" s="7"/>
      <c r="AO634" s="7"/>
      <c r="AP634" s="7"/>
      <c r="AQ634" s="4"/>
      <c r="AR634" s="7"/>
      <c r="AS634" s="4"/>
      <c r="AT634" s="7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</row>
    <row r="635" spans="1:63" ht="15.75" customHeight="1">
      <c r="A635" s="3"/>
      <c r="B635" s="3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6"/>
      <c r="AJ635" s="7"/>
      <c r="AK635" s="8"/>
      <c r="AL635" s="7"/>
      <c r="AM635" s="4"/>
      <c r="AN635" s="7"/>
      <c r="AO635" s="7"/>
      <c r="AP635" s="7"/>
      <c r="AQ635" s="4"/>
      <c r="AR635" s="7"/>
      <c r="AS635" s="4"/>
      <c r="AT635" s="7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</row>
    <row r="636" spans="1:63" ht="15.75" customHeight="1">
      <c r="A636" s="3"/>
      <c r="B636" s="3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6"/>
      <c r="AJ636" s="7"/>
      <c r="AK636" s="8"/>
      <c r="AL636" s="7"/>
      <c r="AM636" s="4"/>
      <c r="AN636" s="7"/>
      <c r="AO636" s="7"/>
      <c r="AP636" s="7"/>
      <c r="AQ636" s="4"/>
      <c r="AR636" s="7"/>
      <c r="AS636" s="4"/>
      <c r="AT636" s="7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</row>
    <row r="637" spans="1:63" ht="15.75" customHeight="1">
      <c r="A637" s="3"/>
      <c r="B637" s="3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6"/>
      <c r="AJ637" s="7"/>
      <c r="AK637" s="8"/>
      <c r="AL637" s="7"/>
      <c r="AM637" s="4"/>
      <c r="AN637" s="7"/>
      <c r="AO637" s="7"/>
      <c r="AP637" s="7"/>
      <c r="AQ637" s="4"/>
      <c r="AR637" s="7"/>
      <c r="AS637" s="4"/>
      <c r="AT637" s="7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</row>
    <row r="638" spans="1:63" ht="15.75" customHeight="1">
      <c r="A638" s="3"/>
      <c r="B638" s="3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6"/>
      <c r="AJ638" s="7"/>
      <c r="AK638" s="8"/>
      <c r="AL638" s="7"/>
      <c r="AM638" s="4"/>
      <c r="AN638" s="7"/>
      <c r="AO638" s="7"/>
      <c r="AP638" s="7"/>
      <c r="AQ638" s="4"/>
      <c r="AR638" s="7"/>
      <c r="AS638" s="4"/>
      <c r="AT638" s="7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</row>
    <row r="639" spans="1:63" ht="15.75" customHeight="1">
      <c r="A639" s="3"/>
      <c r="B639" s="3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6"/>
      <c r="AJ639" s="7"/>
      <c r="AK639" s="8"/>
      <c r="AL639" s="7"/>
      <c r="AM639" s="4"/>
      <c r="AN639" s="7"/>
      <c r="AO639" s="7"/>
      <c r="AP639" s="7"/>
      <c r="AQ639" s="4"/>
      <c r="AR639" s="7"/>
      <c r="AS639" s="4"/>
      <c r="AT639" s="7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</row>
    <row r="640" spans="1:63" ht="15.75" customHeight="1">
      <c r="A640" s="3"/>
      <c r="B640" s="3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6"/>
      <c r="AJ640" s="7"/>
      <c r="AK640" s="8"/>
      <c r="AL640" s="7"/>
      <c r="AM640" s="4"/>
      <c r="AN640" s="7"/>
      <c r="AO640" s="7"/>
      <c r="AP640" s="7"/>
      <c r="AQ640" s="4"/>
      <c r="AR640" s="7"/>
      <c r="AS640" s="4"/>
      <c r="AT640" s="7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</row>
    <row r="641" spans="1:63" ht="15.75" customHeight="1">
      <c r="A641" s="3"/>
      <c r="B641" s="3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6"/>
      <c r="AJ641" s="7"/>
      <c r="AK641" s="8"/>
      <c r="AL641" s="7"/>
      <c r="AM641" s="4"/>
      <c r="AN641" s="7"/>
      <c r="AO641" s="7"/>
      <c r="AP641" s="7"/>
      <c r="AQ641" s="4"/>
      <c r="AR641" s="7"/>
      <c r="AS641" s="4"/>
      <c r="AT641" s="7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</row>
    <row r="642" spans="1:63" ht="15.75" customHeight="1">
      <c r="A642" s="3"/>
      <c r="B642" s="3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6"/>
      <c r="AJ642" s="7"/>
      <c r="AK642" s="8"/>
      <c r="AL642" s="7"/>
      <c r="AM642" s="4"/>
      <c r="AN642" s="7"/>
      <c r="AO642" s="7"/>
      <c r="AP642" s="7"/>
      <c r="AQ642" s="4"/>
      <c r="AR642" s="7"/>
      <c r="AS642" s="4"/>
      <c r="AT642" s="7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</row>
    <row r="643" spans="1:63" ht="15.75" customHeight="1">
      <c r="A643" s="3"/>
      <c r="B643" s="3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6"/>
      <c r="AJ643" s="7"/>
      <c r="AK643" s="8"/>
      <c r="AL643" s="7"/>
      <c r="AM643" s="4"/>
      <c r="AN643" s="7"/>
      <c r="AO643" s="7"/>
      <c r="AP643" s="7"/>
      <c r="AQ643" s="4"/>
      <c r="AR643" s="7"/>
      <c r="AS643" s="4"/>
      <c r="AT643" s="7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</row>
    <row r="644" spans="1:63" ht="15.75" customHeight="1">
      <c r="A644" s="3"/>
      <c r="B644" s="3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6"/>
      <c r="AJ644" s="7"/>
      <c r="AK644" s="8"/>
      <c r="AL644" s="7"/>
      <c r="AM644" s="4"/>
      <c r="AN644" s="7"/>
      <c r="AO644" s="7"/>
      <c r="AP644" s="7"/>
      <c r="AQ644" s="4"/>
      <c r="AR644" s="7"/>
      <c r="AS644" s="4"/>
      <c r="AT644" s="7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</row>
    <row r="645" spans="1:63" ht="15.75" customHeight="1">
      <c r="A645" s="3"/>
      <c r="B645" s="3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6"/>
      <c r="AJ645" s="7"/>
      <c r="AK645" s="8"/>
      <c r="AL645" s="7"/>
      <c r="AM645" s="4"/>
      <c r="AN645" s="7"/>
      <c r="AO645" s="7"/>
      <c r="AP645" s="7"/>
      <c r="AQ645" s="4"/>
      <c r="AR645" s="7"/>
      <c r="AS645" s="4"/>
      <c r="AT645" s="7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</row>
    <row r="646" spans="1:63" ht="15.75" customHeight="1">
      <c r="A646" s="3"/>
      <c r="B646" s="3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6"/>
      <c r="AJ646" s="7"/>
      <c r="AK646" s="8"/>
      <c r="AL646" s="7"/>
      <c r="AM646" s="4"/>
      <c r="AN646" s="7"/>
      <c r="AO646" s="7"/>
      <c r="AP646" s="7"/>
      <c r="AQ646" s="4"/>
      <c r="AR646" s="7"/>
      <c r="AS646" s="4"/>
      <c r="AT646" s="7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</row>
    <row r="647" spans="1:63" ht="15.75" customHeight="1">
      <c r="A647" s="3"/>
      <c r="B647" s="3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6"/>
      <c r="AJ647" s="7"/>
      <c r="AK647" s="8"/>
      <c r="AL647" s="7"/>
      <c r="AM647" s="4"/>
      <c r="AN647" s="7"/>
      <c r="AO647" s="7"/>
      <c r="AP647" s="7"/>
      <c r="AQ647" s="4"/>
      <c r="AR647" s="7"/>
      <c r="AS647" s="4"/>
      <c r="AT647" s="7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</row>
    <row r="648" spans="1:63" ht="15.75" customHeight="1">
      <c r="A648" s="3"/>
      <c r="B648" s="3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6"/>
      <c r="AJ648" s="7"/>
      <c r="AK648" s="8"/>
      <c r="AL648" s="7"/>
      <c r="AM648" s="4"/>
      <c r="AN648" s="7"/>
      <c r="AO648" s="7"/>
      <c r="AP648" s="7"/>
      <c r="AQ648" s="4"/>
      <c r="AR648" s="7"/>
      <c r="AS648" s="4"/>
      <c r="AT648" s="7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</row>
    <row r="649" spans="1:63" ht="15.75" customHeight="1">
      <c r="A649" s="3"/>
      <c r="B649" s="3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6"/>
      <c r="AJ649" s="7"/>
      <c r="AK649" s="8"/>
      <c r="AL649" s="7"/>
      <c r="AM649" s="4"/>
      <c r="AN649" s="7"/>
      <c r="AO649" s="7"/>
      <c r="AP649" s="7"/>
      <c r="AQ649" s="4"/>
      <c r="AR649" s="7"/>
      <c r="AS649" s="4"/>
      <c r="AT649" s="7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</row>
    <row r="650" spans="1:63" ht="15.75" customHeight="1">
      <c r="A650" s="3"/>
      <c r="B650" s="3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6"/>
      <c r="AJ650" s="7"/>
      <c r="AK650" s="8"/>
      <c r="AL650" s="7"/>
      <c r="AM650" s="4"/>
      <c r="AN650" s="7"/>
      <c r="AO650" s="7"/>
      <c r="AP650" s="7"/>
      <c r="AQ650" s="4"/>
      <c r="AR650" s="7"/>
      <c r="AS650" s="4"/>
      <c r="AT650" s="7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</row>
    <row r="651" spans="1:63" ht="15.75" customHeight="1">
      <c r="A651" s="3"/>
      <c r="B651" s="3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6"/>
      <c r="AJ651" s="7"/>
      <c r="AK651" s="8"/>
      <c r="AL651" s="7"/>
      <c r="AM651" s="4"/>
      <c r="AN651" s="7"/>
      <c r="AO651" s="7"/>
      <c r="AP651" s="7"/>
      <c r="AQ651" s="4"/>
      <c r="AR651" s="7"/>
      <c r="AS651" s="4"/>
      <c r="AT651" s="7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</row>
    <row r="652" spans="1:63" ht="15.75" customHeight="1">
      <c r="A652" s="3"/>
      <c r="B652" s="3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6"/>
      <c r="AJ652" s="7"/>
      <c r="AK652" s="8"/>
      <c r="AL652" s="7"/>
      <c r="AM652" s="4"/>
      <c r="AN652" s="7"/>
      <c r="AO652" s="7"/>
      <c r="AP652" s="7"/>
      <c r="AQ652" s="4"/>
      <c r="AR652" s="7"/>
      <c r="AS652" s="4"/>
      <c r="AT652" s="7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</row>
    <row r="653" spans="1:63" ht="15.75" customHeight="1">
      <c r="A653" s="3"/>
      <c r="B653" s="3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6"/>
      <c r="AJ653" s="7"/>
      <c r="AK653" s="8"/>
      <c r="AL653" s="7"/>
      <c r="AM653" s="4"/>
      <c r="AN653" s="7"/>
      <c r="AO653" s="7"/>
      <c r="AP653" s="7"/>
      <c r="AQ653" s="4"/>
      <c r="AR653" s="7"/>
      <c r="AS653" s="4"/>
      <c r="AT653" s="7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</row>
    <row r="654" spans="1:63" ht="15.75" customHeight="1">
      <c r="A654" s="3"/>
      <c r="B654" s="3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6"/>
      <c r="AJ654" s="7"/>
      <c r="AK654" s="8"/>
      <c r="AL654" s="7"/>
      <c r="AM654" s="4"/>
      <c r="AN654" s="7"/>
      <c r="AO654" s="7"/>
      <c r="AP654" s="7"/>
      <c r="AQ654" s="4"/>
      <c r="AR654" s="7"/>
      <c r="AS654" s="4"/>
      <c r="AT654" s="7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</row>
    <row r="655" spans="1:63" ht="15.75" customHeight="1">
      <c r="A655" s="3"/>
      <c r="B655" s="3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6"/>
      <c r="AJ655" s="7"/>
      <c r="AK655" s="8"/>
      <c r="AL655" s="7"/>
      <c r="AM655" s="4"/>
      <c r="AN655" s="7"/>
      <c r="AO655" s="7"/>
      <c r="AP655" s="7"/>
      <c r="AQ655" s="4"/>
      <c r="AR655" s="7"/>
      <c r="AS655" s="4"/>
      <c r="AT655" s="7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</row>
    <row r="656" spans="1:63" ht="15.75" customHeight="1">
      <c r="A656" s="3"/>
      <c r="B656" s="3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6"/>
      <c r="AJ656" s="7"/>
      <c r="AK656" s="8"/>
      <c r="AL656" s="7"/>
      <c r="AM656" s="4"/>
      <c r="AN656" s="7"/>
      <c r="AO656" s="7"/>
      <c r="AP656" s="7"/>
      <c r="AQ656" s="4"/>
      <c r="AR656" s="7"/>
      <c r="AS656" s="4"/>
      <c r="AT656" s="7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</row>
    <row r="657" spans="1:63" ht="15.75" customHeight="1">
      <c r="A657" s="3"/>
      <c r="B657" s="3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6"/>
      <c r="AJ657" s="7"/>
      <c r="AK657" s="8"/>
      <c r="AL657" s="7"/>
      <c r="AM657" s="4"/>
      <c r="AN657" s="7"/>
      <c r="AO657" s="7"/>
      <c r="AP657" s="7"/>
      <c r="AQ657" s="4"/>
      <c r="AR657" s="7"/>
      <c r="AS657" s="4"/>
      <c r="AT657" s="7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</row>
    <row r="658" spans="1:63" ht="15.75" customHeight="1">
      <c r="A658" s="3"/>
      <c r="B658" s="3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6"/>
      <c r="AJ658" s="7"/>
      <c r="AK658" s="8"/>
      <c r="AL658" s="7"/>
      <c r="AM658" s="4"/>
      <c r="AN658" s="7"/>
      <c r="AO658" s="7"/>
      <c r="AP658" s="7"/>
      <c r="AQ658" s="4"/>
      <c r="AR658" s="7"/>
      <c r="AS658" s="4"/>
      <c r="AT658" s="7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</row>
    <row r="659" spans="1:63" ht="15.75" customHeight="1">
      <c r="A659" s="3"/>
      <c r="B659" s="3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6"/>
      <c r="AJ659" s="7"/>
      <c r="AK659" s="8"/>
      <c r="AL659" s="7"/>
      <c r="AM659" s="4"/>
      <c r="AN659" s="7"/>
      <c r="AO659" s="7"/>
      <c r="AP659" s="7"/>
      <c r="AQ659" s="4"/>
      <c r="AR659" s="7"/>
      <c r="AS659" s="4"/>
      <c r="AT659" s="7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</row>
    <row r="660" spans="1:63" ht="15.75" customHeight="1">
      <c r="A660" s="3"/>
      <c r="B660" s="3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6"/>
      <c r="AJ660" s="7"/>
      <c r="AK660" s="8"/>
      <c r="AL660" s="7"/>
      <c r="AM660" s="4"/>
      <c r="AN660" s="7"/>
      <c r="AO660" s="7"/>
      <c r="AP660" s="7"/>
      <c r="AQ660" s="4"/>
      <c r="AR660" s="7"/>
      <c r="AS660" s="4"/>
      <c r="AT660" s="7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</row>
    <row r="661" spans="1:63" ht="15.75" customHeight="1">
      <c r="A661" s="3"/>
      <c r="B661" s="3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6"/>
      <c r="AJ661" s="7"/>
      <c r="AK661" s="8"/>
      <c r="AL661" s="7"/>
      <c r="AM661" s="4"/>
      <c r="AN661" s="7"/>
      <c r="AO661" s="7"/>
      <c r="AP661" s="7"/>
      <c r="AQ661" s="4"/>
      <c r="AR661" s="7"/>
      <c r="AS661" s="4"/>
      <c r="AT661" s="7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</row>
    <row r="662" spans="1:63" ht="15.75" customHeight="1">
      <c r="A662" s="3"/>
      <c r="B662" s="3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6"/>
      <c r="AJ662" s="7"/>
      <c r="AK662" s="8"/>
      <c r="AL662" s="7"/>
      <c r="AM662" s="4"/>
      <c r="AN662" s="7"/>
      <c r="AO662" s="7"/>
      <c r="AP662" s="7"/>
      <c r="AQ662" s="4"/>
      <c r="AR662" s="7"/>
      <c r="AS662" s="4"/>
      <c r="AT662" s="7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</row>
    <row r="663" spans="1:63" ht="15.75" customHeight="1">
      <c r="A663" s="3"/>
      <c r="B663" s="3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6"/>
      <c r="AJ663" s="7"/>
      <c r="AK663" s="8"/>
      <c r="AL663" s="7"/>
      <c r="AM663" s="4"/>
      <c r="AN663" s="7"/>
      <c r="AO663" s="7"/>
      <c r="AP663" s="7"/>
      <c r="AQ663" s="4"/>
      <c r="AR663" s="7"/>
      <c r="AS663" s="4"/>
      <c r="AT663" s="7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</row>
    <row r="664" spans="1:63" ht="15.75" customHeight="1">
      <c r="A664" s="3"/>
      <c r="B664" s="3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6"/>
      <c r="AJ664" s="7"/>
      <c r="AK664" s="8"/>
      <c r="AL664" s="7"/>
      <c r="AM664" s="4"/>
      <c r="AN664" s="7"/>
      <c r="AO664" s="7"/>
      <c r="AP664" s="7"/>
      <c r="AQ664" s="4"/>
      <c r="AR664" s="7"/>
      <c r="AS664" s="4"/>
      <c r="AT664" s="7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</row>
    <row r="665" spans="1:63" ht="15.75" customHeight="1">
      <c r="A665" s="3"/>
      <c r="B665" s="3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6"/>
      <c r="AJ665" s="7"/>
      <c r="AK665" s="8"/>
      <c r="AL665" s="7"/>
      <c r="AM665" s="4"/>
      <c r="AN665" s="7"/>
      <c r="AO665" s="7"/>
      <c r="AP665" s="7"/>
      <c r="AQ665" s="4"/>
      <c r="AR665" s="7"/>
      <c r="AS665" s="4"/>
      <c r="AT665" s="7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</row>
    <row r="666" spans="1:63" ht="15.75" customHeight="1">
      <c r="A666" s="3"/>
      <c r="B666" s="3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6"/>
      <c r="AJ666" s="7"/>
      <c r="AK666" s="8"/>
      <c r="AL666" s="7"/>
      <c r="AM666" s="4"/>
      <c r="AN666" s="7"/>
      <c r="AO666" s="7"/>
      <c r="AP666" s="7"/>
      <c r="AQ666" s="4"/>
      <c r="AR666" s="7"/>
      <c r="AS666" s="4"/>
      <c r="AT666" s="7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</row>
    <row r="667" spans="1:63" ht="15.75" customHeight="1">
      <c r="A667" s="3"/>
      <c r="B667" s="3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6"/>
      <c r="AJ667" s="7"/>
      <c r="AK667" s="8"/>
      <c r="AL667" s="7"/>
      <c r="AM667" s="4"/>
      <c r="AN667" s="7"/>
      <c r="AO667" s="7"/>
      <c r="AP667" s="7"/>
      <c r="AQ667" s="4"/>
      <c r="AR667" s="7"/>
      <c r="AS667" s="4"/>
      <c r="AT667" s="7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</row>
    <row r="668" spans="1:63" ht="15.75" customHeight="1">
      <c r="A668" s="3"/>
      <c r="B668" s="3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6"/>
      <c r="AJ668" s="7"/>
      <c r="AK668" s="8"/>
      <c r="AL668" s="7"/>
      <c r="AM668" s="4"/>
      <c r="AN668" s="7"/>
      <c r="AO668" s="7"/>
      <c r="AP668" s="7"/>
      <c r="AQ668" s="4"/>
      <c r="AR668" s="7"/>
      <c r="AS668" s="4"/>
      <c r="AT668" s="7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</row>
    <row r="669" spans="1:63" ht="15.75" customHeight="1">
      <c r="A669" s="3"/>
      <c r="B669" s="3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6"/>
      <c r="AJ669" s="7"/>
      <c r="AK669" s="8"/>
      <c r="AL669" s="7"/>
      <c r="AM669" s="4"/>
      <c r="AN669" s="7"/>
      <c r="AO669" s="7"/>
      <c r="AP669" s="7"/>
      <c r="AQ669" s="4"/>
      <c r="AR669" s="7"/>
      <c r="AS669" s="4"/>
      <c r="AT669" s="7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</row>
    <row r="670" spans="1:63" ht="15.75" customHeight="1">
      <c r="A670" s="3"/>
      <c r="B670" s="3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6"/>
      <c r="AJ670" s="7"/>
      <c r="AK670" s="8"/>
      <c r="AL670" s="7"/>
      <c r="AM670" s="4"/>
      <c r="AN670" s="7"/>
      <c r="AO670" s="7"/>
      <c r="AP670" s="7"/>
      <c r="AQ670" s="4"/>
      <c r="AR670" s="7"/>
      <c r="AS670" s="4"/>
      <c r="AT670" s="7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</row>
    <row r="671" spans="1:63" ht="15.75" customHeight="1">
      <c r="A671" s="3"/>
      <c r="B671" s="3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6"/>
      <c r="AJ671" s="7"/>
      <c r="AK671" s="8"/>
      <c r="AL671" s="7"/>
      <c r="AM671" s="4"/>
      <c r="AN671" s="7"/>
      <c r="AO671" s="7"/>
      <c r="AP671" s="7"/>
      <c r="AQ671" s="4"/>
      <c r="AR671" s="7"/>
      <c r="AS671" s="4"/>
      <c r="AT671" s="7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</row>
    <row r="672" spans="1:63" ht="15.75" customHeight="1">
      <c r="A672" s="3"/>
      <c r="B672" s="3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6"/>
      <c r="AJ672" s="7"/>
      <c r="AK672" s="8"/>
      <c r="AL672" s="7"/>
      <c r="AM672" s="4"/>
      <c r="AN672" s="7"/>
      <c r="AO672" s="7"/>
      <c r="AP672" s="7"/>
      <c r="AQ672" s="4"/>
      <c r="AR672" s="7"/>
      <c r="AS672" s="4"/>
      <c r="AT672" s="7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</row>
    <row r="673" spans="1:63" ht="15.75" customHeight="1">
      <c r="A673" s="3"/>
      <c r="B673" s="3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6"/>
      <c r="AJ673" s="7"/>
      <c r="AK673" s="8"/>
      <c r="AL673" s="7"/>
      <c r="AM673" s="4"/>
      <c r="AN673" s="7"/>
      <c r="AO673" s="7"/>
      <c r="AP673" s="7"/>
      <c r="AQ673" s="4"/>
      <c r="AR673" s="7"/>
      <c r="AS673" s="4"/>
      <c r="AT673" s="7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</row>
    <row r="674" spans="1:63" ht="15.75" customHeight="1">
      <c r="A674" s="3"/>
      <c r="B674" s="3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6"/>
      <c r="AJ674" s="7"/>
      <c r="AK674" s="8"/>
      <c r="AL674" s="7"/>
      <c r="AM674" s="4"/>
      <c r="AN674" s="7"/>
      <c r="AO674" s="7"/>
      <c r="AP674" s="7"/>
      <c r="AQ674" s="4"/>
      <c r="AR674" s="7"/>
      <c r="AS674" s="4"/>
      <c r="AT674" s="7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</row>
    <row r="675" spans="1:63" ht="15.75" customHeight="1">
      <c r="A675" s="3"/>
      <c r="B675" s="3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6"/>
      <c r="AJ675" s="7"/>
      <c r="AK675" s="8"/>
      <c r="AL675" s="7"/>
      <c r="AM675" s="4"/>
      <c r="AN675" s="7"/>
      <c r="AO675" s="7"/>
      <c r="AP675" s="7"/>
      <c r="AQ675" s="4"/>
      <c r="AR675" s="7"/>
      <c r="AS675" s="4"/>
      <c r="AT675" s="7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</row>
    <row r="676" spans="1:63" ht="15.75" customHeight="1">
      <c r="A676" s="3"/>
      <c r="B676" s="3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6"/>
      <c r="AJ676" s="7"/>
      <c r="AK676" s="8"/>
      <c r="AL676" s="7"/>
      <c r="AM676" s="4"/>
      <c r="AN676" s="7"/>
      <c r="AO676" s="7"/>
      <c r="AP676" s="7"/>
      <c r="AQ676" s="4"/>
      <c r="AR676" s="7"/>
      <c r="AS676" s="4"/>
      <c r="AT676" s="7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</row>
    <row r="677" spans="1:63" ht="15.75" customHeight="1">
      <c r="A677" s="3"/>
      <c r="B677" s="3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6"/>
      <c r="AJ677" s="7"/>
      <c r="AK677" s="8"/>
      <c r="AL677" s="7"/>
      <c r="AM677" s="4"/>
      <c r="AN677" s="7"/>
      <c r="AO677" s="7"/>
      <c r="AP677" s="7"/>
      <c r="AQ677" s="4"/>
      <c r="AR677" s="7"/>
      <c r="AS677" s="4"/>
      <c r="AT677" s="7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</row>
    <row r="678" spans="1:63" ht="15.75" customHeight="1">
      <c r="A678" s="3"/>
      <c r="B678" s="3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6"/>
      <c r="AJ678" s="7"/>
      <c r="AK678" s="8"/>
      <c r="AL678" s="7"/>
      <c r="AM678" s="4"/>
      <c r="AN678" s="7"/>
      <c r="AO678" s="7"/>
      <c r="AP678" s="7"/>
      <c r="AQ678" s="4"/>
      <c r="AR678" s="7"/>
      <c r="AS678" s="4"/>
      <c r="AT678" s="7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</row>
    <row r="679" spans="1:63" ht="15.75" customHeight="1">
      <c r="A679" s="3"/>
      <c r="B679" s="3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6"/>
      <c r="AJ679" s="7"/>
      <c r="AK679" s="8"/>
      <c r="AL679" s="7"/>
      <c r="AM679" s="4"/>
      <c r="AN679" s="7"/>
      <c r="AO679" s="7"/>
      <c r="AP679" s="7"/>
      <c r="AQ679" s="4"/>
      <c r="AR679" s="7"/>
      <c r="AS679" s="4"/>
      <c r="AT679" s="7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</row>
    <row r="680" spans="1:63" ht="15.75" customHeight="1">
      <c r="A680" s="3"/>
      <c r="B680" s="3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6"/>
      <c r="AJ680" s="7"/>
      <c r="AK680" s="8"/>
      <c r="AL680" s="7"/>
      <c r="AM680" s="4"/>
      <c r="AN680" s="7"/>
      <c r="AO680" s="7"/>
      <c r="AP680" s="7"/>
      <c r="AQ680" s="4"/>
      <c r="AR680" s="7"/>
      <c r="AS680" s="4"/>
      <c r="AT680" s="7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</row>
    <row r="681" spans="1:63" ht="15.75" customHeight="1">
      <c r="A681" s="3"/>
      <c r="B681" s="3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6"/>
      <c r="AJ681" s="7"/>
      <c r="AK681" s="8"/>
      <c r="AL681" s="7"/>
      <c r="AM681" s="4"/>
      <c r="AN681" s="7"/>
      <c r="AO681" s="7"/>
      <c r="AP681" s="7"/>
      <c r="AQ681" s="4"/>
      <c r="AR681" s="7"/>
      <c r="AS681" s="4"/>
      <c r="AT681" s="7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</row>
    <row r="682" spans="1:63" ht="15.75" customHeight="1">
      <c r="A682" s="3"/>
      <c r="B682" s="3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6"/>
      <c r="AJ682" s="7"/>
      <c r="AK682" s="8"/>
      <c r="AL682" s="7"/>
      <c r="AM682" s="4"/>
      <c r="AN682" s="7"/>
      <c r="AO682" s="7"/>
      <c r="AP682" s="7"/>
      <c r="AQ682" s="4"/>
      <c r="AR682" s="7"/>
      <c r="AS682" s="4"/>
      <c r="AT682" s="7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</row>
    <row r="683" spans="1:63" ht="15.75" customHeight="1">
      <c r="A683" s="3"/>
      <c r="B683" s="3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6"/>
      <c r="AJ683" s="7"/>
      <c r="AK683" s="8"/>
      <c r="AL683" s="7"/>
      <c r="AM683" s="4"/>
      <c r="AN683" s="7"/>
      <c r="AO683" s="7"/>
      <c r="AP683" s="7"/>
      <c r="AQ683" s="4"/>
      <c r="AR683" s="7"/>
      <c r="AS683" s="4"/>
      <c r="AT683" s="7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</row>
    <row r="684" spans="1:63" ht="15.75" customHeight="1">
      <c r="A684" s="3"/>
      <c r="B684" s="3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6"/>
      <c r="AJ684" s="7"/>
      <c r="AK684" s="8"/>
      <c r="AL684" s="7"/>
      <c r="AM684" s="4"/>
      <c r="AN684" s="7"/>
      <c r="AO684" s="7"/>
      <c r="AP684" s="7"/>
      <c r="AQ684" s="4"/>
      <c r="AR684" s="7"/>
      <c r="AS684" s="4"/>
      <c r="AT684" s="7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</row>
    <row r="685" spans="1:63" ht="15.75" customHeight="1">
      <c r="A685" s="3"/>
      <c r="B685" s="3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6"/>
      <c r="AJ685" s="7"/>
      <c r="AK685" s="8"/>
      <c r="AL685" s="7"/>
      <c r="AM685" s="4"/>
      <c r="AN685" s="7"/>
      <c r="AO685" s="7"/>
      <c r="AP685" s="7"/>
      <c r="AQ685" s="4"/>
      <c r="AR685" s="7"/>
      <c r="AS685" s="4"/>
      <c r="AT685" s="7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</row>
    <row r="686" spans="1:63" ht="15.75" customHeight="1">
      <c r="A686" s="3"/>
      <c r="B686" s="3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6"/>
      <c r="AJ686" s="7"/>
      <c r="AK686" s="8"/>
      <c r="AL686" s="7"/>
      <c r="AM686" s="4"/>
      <c r="AN686" s="7"/>
      <c r="AO686" s="7"/>
      <c r="AP686" s="7"/>
      <c r="AQ686" s="4"/>
      <c r="AR686" s="7"/>
      <c r="AS686" s="4"/>
      <c r="AT686" s="7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</row>
    <row r="687" spans="1:63" ht="15.75" customHeight="1">
      <c r="A687" s="3"/>
      <c r="B687" s="3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6"/>
      <c r="AJ687" s="7"/>
      <c r="AK687" s="8"/>
      <c r="AL687" s="7"/>
      <c r="AM687" s="4"/>
      <c r="AN687" s="7"/>
      <c r="AO687" s="7"/>
      <c r="AP687" s="7"/>
      <c r="AQ687" s="4"/>
      <c r="AR687" s="7"/>
      <c r="AS687" s="4"/>
      <c r="AT687" s="7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</row>
    <row r="688" spans="1:63" ht="15.75" customHeight="1">
      <c r="A688" s="3"/>
      <c r="B688" s="3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6"/>
      <c r="AJ688" s="7"/>
      <c r="AK688" s="8"/>
      <c r="AL688" s="7"/>
      <c r="AM688" s="4"/>
      <c r="AN688" s="7"/>
      <c r="AO688" s="7"/>
      <c r="AP688" s="7"/>
      <c r="AQ688" s="4"/>
      <c r="AR688" s="7"/>
      <c r="AS688" s="4"/>
      <c r="AT688" s="7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</row>
    <row r="689" spans="1:63" ht="15.75" customHeight="1">
      <c r="A689" s="3"/>
      <c r="B689" s="3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6"/>
      <c r="AJ689" s="7"/>
      <c r="AK689" s="8"/>
      <c r="AL689" s="7"/>
      <c r="AM689" s="4"/>
      <c r="AN689" s="7"/>
      <c r="AO689" s="7"/>
      <c r="AP689" s="7"/>
      <c r="AQ689" s="4"/>
      <c r="AR689" s="7"/>
      <c r="AS689" s="4"/>
      <c r="AT689" s="7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</row>
    <row r="690" spans="1:63" ht="15.75" customHeight="1">
      <c r="A690" s="3"/>
      <c r="B690" s="3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6"/>
      <c r="AJ690" s="7"/>
      <c r="AK690" s="8"/>
      <c r="AL690" s="7"/>
      <c r="AM690" s="4"/>
      <c r="AN690" s="7"/>
      <c r="AO690" s="7"/>
      <c r="AP690" s="7"/>
      <c r="AQ690" s="4"/>
      <c r="AR690" s="7"/>
      <c r="AS690" s="4"/>
      <c r="AT690" s="7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</row>
    <row r="691" spans="1:63" ht="15.75" customHeight="1">
      <c r="A691" s="3"/>
      <c r="B691" s="3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6"/>
      <c r="AJ691" s="7"/>
      <c r="AK691" s="8"/>
      <c r="AL691" s="7"/>
      <c r="AM691" s="4"/>
      <c r="AN691" s="7"/>
      <c r="AO691" s="7"/>
      <c r="AP691" s="7"/>
      <c r="AQ691" s="4"/>
      <c r="AR691" s="7"/>
      <c r="AS691" s="4"/>
      <c r="AT691" s="7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</row>
    <row r="692" spans="1:63" ht="15.75" customHeight="1">
      <c r="A692" s="3"/>
      <c r="B692" s="3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6"/>
      <c r="AJ692" s="7"/>
      <c r="AK692" s="8"/>
      <c r="AL692" s="7"/>
      <c r="AM692" s="4"/>
      <c r="AN692" s="7"/>
      <c r="AO692" s="7"/>
      <c r="AP692" s="7"/>
      <c r="AQ692" s="4"/>
      <c r="AR692" s="7"/>
      <c r="AS692" s="4"/>
      <c r="AT692" s="7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</row>
    <row r="693" spans="1:63" ht="15.75" customHeight="1">
      <c r="A693" s="3"/>
      <c r="B693" s="3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6"/>
      <c r="AJ693" s="7"/>
      <c r="AK693" s="8"/>
      <c r="AL693" s="7"/>
      <c r="AM693" s="4"/>
      <c r="AN693" s="7"/>
      <c r="AO693" s="7"/>
      <c r="AP693" s="7"/>
      <c r="AQ693" s="4"/>
      <c r="AR693" s="7"/>
      <c r="AS693" s="4"/>
      <c r="AT693" s="7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</row>
    <row r="694" spans="1:63" ht="15.75" customHeight="1">
      <c r="A694" s="3"/>
      <c r="B694" s="3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6"/>
      <c r="AJ694" s="7"/>
      <c r="AK694" s="8"/>
      <c r="AL694" s="7"/>
      <c r="AM694" s="4"/>
      <c r="AN694" s="7"/>
      <c r="AO694" s="7"/>
      <c r="AP694" s="7"/>
      <c r="AQ694" s="4"/>
      <c r="AR694" s="7"/>
      <c r="AS694" s="4"/>
      <c r="AT694" s="7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</row>
    <row r="695" spans="1:63" ht="15.75" customHeight="1">
      <c r="A695" s="3"/>
      <c r="B695" s="3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6"/>
      <c r="AJ695" s="7"/>
      <c r="AK695" s="8"/>
      <c r="AL695" s="7"/>
      <c r="AM695" s="4"/>
      <c r="AN695" s="7"/>
      <c r="AO695" s="7"/>
      <c r="AP695" s="7"/>
      <c r="AQ695" s="4"/>
      <c r="AR695" s="7"/>
      <c r="AS695" s="4"/>
      <c r="AT695" s="7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</row>
    <row r="696" spans="1:63" ht="15.75" customHeight="1">
      <c r="A696" s="3"/>
      <c r="B696" s="3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6"/>
      <c r="AJ696" s="7"/>
      <c r="AK696" s="8"/>
      <c r="AL696" s="7"/>
      <c r="AM696" s="4"/>
      <c r="AN696" s="7"/>
      <c r="AO696" s="7"/>
      <c r="AP696" s="7"/>
      <c r="AQ696" s="4"/>
      <c r="AR696" s="7"/>
      <c r="AS696" s="4"/>
      <c r="AT696" s="7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</row>
    <row r="697" spans="1:63" ht="15.75" customHeight="1">
      <c r="A697" s="3"/>
      <c r="B697" s="3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6"/>
      <c r="AJ697" s="7"/>
      <c r="AK697" s="8"/>
      <c r="AL697" s="7"/>
      <c r="AM697" s="4"/>
      <c r="AN697" s="7"/>
      <c r="AO697" s="7"/>
      <c r="AP697" s="7"/>
      <c r="AQ697" s="4"/>
      <c r="AR697" s="7"/>
      <c r="AS697" s="4"/>
      <c r="AT697" s="7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</row>
    <row r="698" spans="1:63" ht="15.75" customHeight="1">
      <c r="A698" s="3"/>
      <c r="B698" s="3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6"/>
      <c r="AJ698" s="7"/>
      <c r="AK698" s="8"/>
      <c r="AL698" s="7"/>
      <c r="AM698" s="4"/>
      <c r="AN698" s="7"/>
      <c r="AO698" s="7"/>
      <c r="AP698" s="7"/>
      <c r="AQ698" s="4"/>
      <c r="AR698" s="7"/>
      <c r="AS698" s="4"/>
      <c r="AT698" s="7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</row>
    <row r="699" spans="1:63" ht="15.75" customHeight="1">
      <c r="A699" s="3"/>
      <c r="B699" s="3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6"/>
      <c r="AJ699" s="7"/>
      <c r="AK699" s="8"/>
      <c r="AL699" s="7"/>
      <c r="AM699" s="4"/>
      <c r="AN699" s="7"/>
      <c r="AO699" s="7"/>
      <c r="AP699" s="7"/>
      <c r="AQ699" s="4"/>
      <c r="AR699" s="7"/>
      <c r="AS699" s="4"/>
      <c r="AT699" s="7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</row>
    <row r="700" spans="1:63" ht="15.75" customHeight="1">
      <c r="A700" s="3"/>
      <c r="B700" s="3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6"/>
      <c r="AJ700" s="7"/>
      <c r="AK700" s="8"/>
      <c r="AL700" s="7"/>
      <c r="AM700" s="4"/>
      <c r="AN700" s="7"/>
      <c r="AO700" s="7"/>
      <c r="AP700" s="7"/>
      <c r="AQ700" s="4"/>
      <c r="AR700" s="7"/>
      <c r="AS700" s="4"/>
      <c r="AT700" s="7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</row>
    <row r="701" spans="1:63" ht="15.75" customHeight="1">
      <c r="A701" s="3"/>
      <c r="B701" s="3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6"/>
      <c r="AJ701" s="7"/>
      <c r="AK701" s="8"/>
      <c r="AL701" s="7"/>
      <c r="AM701" s="4"/>
      <c r="AN701" s="7"/>
      <c r="AO701" s="7"/>
      <c r="AP701" s="7"/>
      <c r="AQ701" s="4"/>
      <c r="AR701" s="7"/>
      <c r="AS701" s="4"/>
      <c r="AT701" s="7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</row>
    <row r="702" spans="1:63" ht="15.75" customHeight="1">
      <c r="A702" s="3"/>
      <c r="B702" s="3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6"/>
      <c r="AJ702" s="7"/>
      <c r="AK702" s="8"/>
      <c r="AL702" s="7"/>
      <c r="AM702" s="4"/>
      <c r="AN702" s="7"/>
      <c r="AO702" s="7"/>
      <c r="AP702" s="7"/>
      <c r="AQ702" s="4"/>
      <c r="AR702" s="7"/>
      <c r="AS702" s="4"/>
      <c r="AT702" s="7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</row>
    <row r="703" spans="1:63" ht="15.75" customHeight="1">
      <c r="A703" s="3"/>
      <c r="B703" s="3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6"/>
      <c r="AJ703" s="7"/>
      <c r="AK703" s="8"/>
      <c r="AL703" s="7"/>
      <c r="AM703" s="4"/>
      <c r="AN703" s="7"/>
      <c r="AO703" s="7"/>
      <c r="AP703" s="7"/>
      <c r="AQ703" s="4"/>
      <c r="AR703" s="7"/>
      <c r="AS703" s="4"/>
      <c r="AT703" s="7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</row>
    <row r="704" spans="1:63" ht="15.75" customHeight="1">
      <c r="A704" s="3"/>
      <c r="B704" s="3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6"/>
      <c r="AJ704" s="7"/>
      <c r="AK704" s="8"/>
      <c r="AL704" s="7"/>
      <c r="AM704" s="4"/>
      <c r="AN704" s="7"/>
      <c r="AO704" s="7"/>
      <c r="AP704" s="7"/>
      <c r="AQ704" s="4"/>
      <c r="AR704" s="7"/>
      <c r="AS704" s="4"/>
      <c r="AT704" s="7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</row>
    <row r="705" spans="1:63" ht="15.75" customHeight="1">
      <c r="A705" s="3"/>
      <c r="B705" s="3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6"/>
      <c r="AJ705" s="7"/>
      <c r="AK705" s="8"/>
      <c r="AL705" s="7"/>
      <c r="AM705" s="4"/>
      <c r="AN705" s="7"/>
      <c r="AO705" s="7"/>
      <c r="AP705" s="7"/>
      <c r="AQ705" s="4"/>
      <c r="AR705" s="7"/>
      <c r="AS705" s="4"/>
      <c r="AT705" s="7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</row>
    <row r="706" spans="1:63" ht="15.75" customHeight="1">
      <c r="A706" s="3"/>
      <c r="B706" s="3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6"/>
      <c r="AJ706" s="7"/>
      <c r="AK706" s="8"/>
      <c r="AL706" s="7"/>
      <c r="AM706" s="4"/>
      <c r="AN706" s="7"/>
      <c r="AO706" s="7"/>
      <c r="AP706" s="7"/>
      <c r="AQ706" s="4"/>
      <c r="AR706" s="7"/>
      <c r="AS706" s="4"/>
      <c r="AT706" s="7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</row>
    <row r="707" spans="1:63" ht="15.75" customHeight="1">
      <c r="A707" s="3"/>
      <c r="B707" s="3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6"/>
      <c r="AJ707" s="7"/>
      <c r="AK707" s="8"/>
      <c r="AL707" s="7"/>
      <c r="AM707" s="4"/>
      <c r="AN707" s="7"/>
      <c r="AO707" s="7"/>
      <c r="AP707" s="7"/>
      <c r="AQ707" s="4"/>
      <c r="AR707" s="7"/>
      <c r="AS707" s="4"/>
      <c r="AT707" s="7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</row>
    <row r="708" spans="1:63" ht="15.75" customHeight="1">
      <c r="A708" s="3"/>
      <c r="B708" s="3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6"/>
      <c r="AJ708" s="7"/>
      <c r="AK708" s="8"/>
      <c r="AL708" s="7"/>
      <c r="AM708" s="4"/>
      <c r="AN708" s="7"/>
      <c r="AO708" s="7"/>
      <c r="AP708" s="7"/>
      <c r="AQ708" s="4"/>
      <c r="AR708" s="7"/>
      <c r="AS708" s="4"/>
      <c r="AT708" s="7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</row>
    <row r="709" spans="1:63" ht="15.75" customHeight="1">
      <c r="A709" s="3"/>
      <c r="B709" s="3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6"/>
      <c r="AJ709" s="7"/>
      <c r="AK709" s="8"/>
      <c r="AL709" s="7"/>
      <c r="AM709" s="4"/>
      <c r="AN709" s="7"/>
      <c r="AO709" s="7"/>
      <c r="AP709" s="7"/>
      <c r="AQ709" s="4"/>
      <c r="AR709" s="7"/>
      <c r="AS709" s="4"/>
      <c r="AT709" s="7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</row>
    <row r="710" spans="1:63" ht="15.75" customHeight="1">
      <c r="A710" s="3"/>
      <c r="B710" s="3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6"/>
      <c r="AJ710" s="7"/>
      <c r="AK710" s="8"/>
      <c r="AL710" s="7"/>
      <c r="AM710" s="4"/>
      <c r="AN710" s="7"/>
      <c r="AO710" s="7"/>
      <c r="AP710" s="7"/>
      <c r="AQ710" s="4"/>
      <c r="AR710" s="7"/>
      <c r="AS710" s="4"/>
      <c r="AT710" s="7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</row>
    <row r="711" spans="1:63" ht="15.75" customHeight="1">
      <c r="A711" s="3"/>
      <c r="B711" s="3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6"/>
      <c r="AJ711" s="7"/>
      <c r="AK711" s="8"/>
      <c r="AL711" s="7"/>
      <c r="AM711" s="4"/>
      <c r="AN711" s="7"/>
      <c r="AO711" s="7"/>
      <c r="AP711" s="7"/>
      <c r="AQ711" s="4"/>
      <c r="AR711" s="7"/>
      <c r="AS711" s="4"/>
      <c r="AT711" s="7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</row>
    <row r="712" spans="1:63" ht="15.75" customHeight="1">
      <c r="A712" s="3"/>
      <c r="B712" s="3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6"/>
      <c r="AJ712" s="7"/>
      <c r="AK712" s="8"/>
      <c r="AL712" s="7"/>
      <c r="AM712" s="4"/>
      <c r="AN712" s="7"/>
      <c r="AO712" s="7"/>
      <c r="AP712" s="7"/>
      <c r="AQ712" s="4"/>
      <c r="AR712" s="7"/>
      <c r="AS712" s="4"/>
      <c r="AT712" s="7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</row>
    <row r="713" spans="1:63" ht="15.75" customHeight="1">
      <c r="A713" s="3"/>
      <c r="B713" s="3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6"/>
      <c r="AJ713" s="7"/>
      <c r="AK713" s="8"/>
      <c r="AL713" s="7"/>
      <c r="AM713" s="4"/>
      <c r="AN713" s="7"/>
      <c r="AO713" s="7"/>
      <c r="AP713" s="7"/>
      <c r="AQ713" s="4"/>
      <c r="AR713" s="7"/>
      <c r="AS713" s="4"/>
      <c r="AT713" s="7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</row>
    <row r="714" spans="1:63" ht="15.75" customHeight="1">
      <c r="A714" s="3"/>
      <c r="B714" s="3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6"/>
      <c r="AJ714" s="7"/>
      <c r="AK714" s="8"/>
      <c r="AL714" s="7"/>
      <c r="AM714" s="4"/>
      <c r="AN714" s="7"/>
      <c r="AO714" s="7"/>
      <c r="AP714" s="7"/>
      <c r="AQ714" s="4"/>
      <c r="AR714" s="7"/>
      <c r="AS714" s="4"/>
      <c r="AT714" s="7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</row>
    <row r="715" spans="1:63" ht="15.75" customHeight="1">
      <c r="A715" s="3"/>
      <c r="B715" s="3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6"/>
      <c r="AJ715" s="7"/>
      <c r="AK715" s="8"/>
      <c r="AL715" s="7"/>
      <c r="AM715" s="4"/>
      <c r="AN715" s="7"/>
      <c r="AO715" s="7"/>
      <c r="AP715" s="7"/>
      <c r="AQ715" s="4"/>
      <c r="AR715" s="7"/>
      <c r="AS715" s="4"/>
      <c r="AT715" s="7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</row>
    <row r="716" spans="1:63" ht="15.75" customHeight="1">
      <c r="A716" s="3"/>
      <c r="B716" s="3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6"/>
      <c r="AJ716" s="7"/>
      <c r="AK716" s="8"/>
      <c r="AL716" s="7"/>
      <c r="AM716" s="4"/>
      <c r="AN716" s="7"/>
      <c r="AO716" s="7"/>
      <c r="AP716" s="7"/>
      <c r="AQ716" s="4"/>
      <c r="AR716" s="7"/>
      <c r="AS716" s="4"/>
      <c r="AT716" s="7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</row>
    <row r="717" spans="1:63" ht="15.75" customHeight="1">
      <c r="A717" s="3"/>
      <c r="B717" s="3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6"/>
      <c r="AJ717" s="7"/>
      <c r="AK717" s="8"/>
      <c r="AL717" s="7"/>
      <c r="AM717" s="4"/>
      <c r="AN717" s="7"/>
      <c r="AO717" s="7"/>
      <c r="AP717" s="7"/>
      <c r="AQ717" s="4"/>
      <c r="AR717" s="7"/>
      <c r="AS717" s="4"/>
      <c r="AT717" s="7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</row>
    <row r="718" spans="1:63" ht="15.75" customHeight="1">
      <c r="A718" s="3"/>
      <c r="B718" s="3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6"/>
      <c r="AJ718" s="7"/>
      <c r="AK718" s="8"/>
      <c r="AL718" s="7"/>
      <c r="AM718" s="4"/>
      <c r="AN718" s="7"/>
      <c r="AO718" s="7"/>
      <c r="AP718" s="7"/>
      <c r="AQ718" s="4"/>
      <c r="AR718" s="7"/>
      <c r="AS718" s="4"/>
      <c r="AT718" s="7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</row>
    <row r="719" spans="1:63" ht="15.75" customHeight="1">
      <c r="A719" s="3"/>
      <c r="B719" s="3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6"/>
      <c r="AJ719" s="7"/>
      <c r="AK719" s="8"/>
      <c r="AL719" s="7"/>
      <c r="AM719" s="4"/>
      <c r="AN719" s="7"/>
      <c r="AO719" s="7"/>
      <c r="AP719" s="7"/>
      <c r="AQ719" s="4"/>
      <c r="AR719" s="7"/>
      <c r="AS719" s="4"/>
      <c r="AT719" s="7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</row>
    <row r="720" spans="1:63" ht="15.75" customHeight="1">
      <c r="A720" s="3"/>
      <c r="B720" s="3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6"/>
      <c r="AJ720" s="7"/>
      <c r="AK720" s="8"/>
      <c r="AL720" s="7"/>
      <c r="AM720" s="4"/>
      <c r="AN720" s="7"/>
      <c r="AO720" s="7"/>
      <c r="AP720" s="7"/>
      <c r="AQ720" s="4"/>
      <c r="AR720" s="7"/>
      <c r="AS720" s="4"/>
      <c r="AT720" s="7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</row>
    <row r="721" spans="1:63" ht="15.75" customHeight="1">
      <c r="A721" s="3"/>
      <c r="B721" s="3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6"/>
      <c r="AJ721" s="7"/>
      <c r="AK721" s="8"/>
      <c r="AL721" s="7"/>
      <c r="AM721" s="4"/>
      <c r="AN721" s="7"/>
      <c r="AO721" s="7"/>
      <c r="AP721" s="7"/>
      <c r="AQ721" s="4"/>
      <c r="AR721" s="7"/>
      <c r="AS721" s="4"/>
      <c r="AT721" s="7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</row>
    <row r="722" spans="1:63" ht="15.75" customHeight="1">
      <c r="A722" s="3"/>
      <c r="B722" s="3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6"/>
      <c r="AJ722" s="7"/>
      <c r="AK722" s="8"/>
      <c r="AL722" s="7"/>
      <c r="AM722" s="4"/>
      <c r="AN722" s="7"/>
      <c r="AO722" s="7"/>
      <c r="AP722" s="7"/>
      <c r="AQ722" s="4"/>
      <c r="AR722" s="7"/>
      <c r="AS722" s="4"/>
      <c r="AT722" s="7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</row>
    <row r="723" spans="1:63" ht="15.75" customHeight="1">
      <c r="A723" s="3"/>
      <c r="B723" s="3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6"/>
      <c r="AJ723" s="7"/>
      <c r="AK723" s="8"/>
      <c r="AL723" s="7"/>
      <c r="AM723" s="4"/>
      <c r="AN723" s="7"/>
      <c r="AO723" s="7"/>
      <c r="AP723" s="7"/>
      <c r="AQ723" s="4"/>
      <c r="AR723" s="7"/>
      <c r="AS723" s="4"/>
      <c r="AT723" s="7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</row>
    <row r="724" spans="1:63" ht="15.75" customHeight="1">
      <c r="A724" s="3"/>
      <c r="B724" s="3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6"/>
      <c r="AJ724" s="7"/>
      <c r="AK724" s="8"/>
      <c r="AL724" s="7"/>
      <c r="AM724" s="4"/>
      <c r="AN724" s="7"/>
      <c r="AO724" s="7"/>
      <c r="AP724" s="7"/>
      <c r="AQ724" s="4"/>
      <c r="AR724" s="7"/>
      <c r="AS724" s="4"/>
      <c r="AT724" s="7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</row>
    <row r="725" spans="1:63" ht="15.75" customHeight="1">
      <c r="A725" s="3"/>
      <c r="B725" s="3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6"/>
      <c r="AJ725" s="7"/>
      <c r="AK725" s="8"/>
      <c r="AL725" s="7"/>
      <c r="AM725" s="4"/>
      <c r="AN725" s="7"/>
      <c r="AO725" s="7"/>
      <c r="AP725" s="7"/>
      <c r="AQ725" s="4"/>
      <c r="AR725" s="7"/>
      <c r="AS725" s="4"/>
      <c r="AT725" s="7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</row>
    <row r="726" spans="1:63" ht="15.75" customHeight="1">
      <c r="A726" s="3"/>
      <c r="B726" s="3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6"/>
      <c r="AJ726" s="7"/>
      <c r="AK726" s="8"/>
      <c r="AL726" s="7"/>
      <c r="AM726" s="4"/>
      <c r="AN726" s="7"/>
      <c r="AO726" s="7"/>
      <c r="AP726" s="7"/>
      <c r="AQ726" s="4"/>
      <c r="AR726" s="7"/>
      <c r="AS726" s="4"/>
      <c r="AT726" s="7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</row>
    <row r="727" spans="1:63" ht="15.75" customHeight="1">
      <c r="A727" s="3"/>
      <c r="B727" s="3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6"/>
      <c r="AJ727" s="7"/>
      <c r="AK727" s="8"/>
      <c r="AL727" s="7"/>
      <c r="AM727" s="4"/>
      <c r="AN727" s="7"/>
      <c r="AO727" s="7"/>
      <c r="AP727" s="7"/>
      <c r="AQ727" s="4"/>
      <c r="AR727" s="7"/>
      <c r="AS727" s="4"/>
      <c r="AT727" s="7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</row>
    <row r="728" spans="1:63" ht="15.75" customHeight="1">
      <c r="A728" s="3"/>
      <c r="B728" s="3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6"/>
      <c r="AJ728" s="7"/>
      <c r="AK728" s="8"/>
      <c r="AL728" s="7"/>
      <c r="AM728" s="4"/>
      <c r="AN728" s="7"/>
      <c r="AO728" s="7"/>
      <c r="AP728" s="7"/>
      <c r="AQ728" s="4"/>
      <c r="AR728" s="7"/>
      <c r="AS728" s="4"/>
      <c r="AT728" s="7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</row>
    <row r="729" spans="1:63" ht="15.75" customHeight="1">
      <c r="A729" s="3"/>
      <c r="B729" s="3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6"/>
      <c r="AJ729" s="7"/>
      <c r="AK729" s="8"/>
      <c r="AL729" s="7"/>
      <c r="AM729" s="4"/>
      <c r="AN729" s="7"/>
      <c r="AO729" s="7"/>
      <c r="AP729" s="7"/>
      <c r="AQ729" s="4"/>
      <c r="AR729" s="7"/>
      <c r="AS729" s="4"/>
      <c r="AT729" s="7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</row>
    <row r="730" spans="1:63" ht="15.75" customHeight="1">
      <c r="A730" s="3"/>
      <c r="B730" s="3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6"/>
      <c r="AJ730" s="7"/>
      <c r="AK730" s="8"/>
      <c r="AL730" s="7"/>
      <c r="AM730" s="4"/>
      <c r="AN730" s="7"/>
      <c r="AO730" s="7"/>
      <c r="AP730" s="7"/>
      <c r="AQ730" s="4"/>
      <c r="AR730" s="7"/>
      <c r="AS730" s="4"/>
      <c r="AT730" s="7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</row>
    <row r="731" spans="1:63" ht="15.75" customHeight="1">
      <c r="A731" s="3"/>
      <c r="B731" s="3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6"/>
      <c r="AJ731" s="7"/>
      <c r="AK731" s="8"/>
      <c r="AL731" s="7"/>
      <c r="AM731" s="4"/>
      <c r="AN731" s="7"/>
      <c r="AO731" s="7"/>
      <c r="AP731" s="7"/>
      <c r="AQ731" s="4"/>
      <c r="AR731" s="7"/>
      <c r="AS731" s="4"/>
      <c r="AT731" s="7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</row>
    <row r="732" spans="1:63" ht="15.75" customHeight="1">
      <c r="A732" s="3"/>
      <c r="B732" s="3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6"/>
      <c r="AJ732" s="7"/>
      <c r="AK732" s="8"/>
      <c r="AL732" s="7"/>
      <c r="AM732" s="4"/>
      <c r="AN732" s="7"/>
      <c r="AO732" s="7"/>
      <c r="AP732" s="7"/>
      <c r="AQ732" s="4"/>
      <c r="AR732" s="7"/>
      <c r="AS732" s="4"/>
      <c r="AT732" s="7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</row>
    <row r="733" spans="1:63" ht="15.75" customHeight="1">
      <c r="A733" s="3"/>
      <c r="B733" s="3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6"/>
      <c r="AJ733" s="7"/>
      <c r="AK733" s="8"/>
      <c r="AL733" s="7"/>
      <c r="AM733" s="4"/>
      <c r="AN733" s="7"/>
      <c r="AO733" s="7"/>
      <c r="AP733" s="7"/>
      <c r="AQ733" s="4"/>
      <c r="AR733" s="7"/>
      <c r="AS733" s="4"/>
      <c r="AT733" s="7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</row>
    <row r="734" spans="1:63" ht="15.75" customHeight="1">
      <c r="A734" s="3"/>
      <c r="B734" s="3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6"/>
      <c r="AJ734" s="7"/>
      <c r="AK734" s="8"/>
      <c r="AL734" s="7"/>
      <c r="AM734" s="4"/>
      <c r="AN734" s="7"/>
      <c r="AO734" s="7"/>
      <c r="AP734" s="7"/>
      <c r="AQ734" s="4"/>
      <c r="AR734" s="7"/>
      <c r="AS734" s="4"/>
      <c r="AT734" s="7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</row>
    <row r="735" spans="1:63" ht="15.75" customHeight="1">
      <c r="A735" s="3"/>
      <c r="B735" s="3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6"/>
      <c r="AJ735" s="7"/>
      <c r="AK735" s="8"/>
      <c r="AL735" s="7"/>
      <c r="AM735" s="4"/>
      <c r="AN735" s="7"/>
      <c r="AO735" s="7"/>
      <c r="AP735" s="7"/>
      <c r="AQ735" s="4"/>
      <c r="AR735" s="7"/>
      <c r="AS735" s="4"/>
      <c r="AT735" s="7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</row>
    <row r="736" spans="1:63" ht="15.75" customHeight="1">
      <c r="A736" s="3"/>
      <c r="B736" s="3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6"/>
      <c r="AJ736" s="7"/>
      <c r="AK736" s="8"/>
      <c r="AL736" s="7"/>
      <c r="AM736" s="4"/>
      <c r="AN736" s="7"/>
      <c r="AO736" s="7"/>
      <c r="AP736" s="7"/>
      <c r="AQ736" s="4"/>
      <c r="AR736" s="7"/>
      <c r="AS736" s="4"/>
      <c r="AT736" s="7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</row>
    <row r="737" spans="1:63" ht="15.75" customHeight="1">
      <c r="A737" s="3"/>
      <c r="B737" s="3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6"/>
      <c r="AJ737" s="7"/>
      <c r="AK737" s="8"/>
      <c r="AL737" s="7"/>
      <c r="AM737" s="4"/>
      <c r="AN737" s="7"/>
      <c r="AO737" s="7"/>
      <c r="AP737" s="7"/>
      <c r="AQ737" s="4"/>
      <c r="AR737" s="7"/>
      <c r="AS737" s="4"/>
      <c r="AT737" s="7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</row>
    <row r="738" spans="1:63" ht="15.75" customHeight="1">
      <c r="A738" s="3"/>
      <c r="B738" s="3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6"/>
      <c r="AJ738" s="7"/>
      <c r="AK738" s="8"/>
      <c r="AL738" s="7"/>
      <c r="AM738" s="4"/>
      <c r="AN738" s="7"/>
      <c r="AO738" s="7"/>
      <c r="AP738" s="7"/>
      <c r="AQ738" s="4"/>
      <c r="AR738" s="7"/>
      <c r="AS738" s="4"/>
      <c r="AT738" s="7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</row>
    <row r="739" spans="1:63" ht="15.75" customHeight="1">
      <c r="A739" s="3"/>
      <c r="B739" s="3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6"/>
      <c r="AJ739" s="7"/>
      <c r="AK739" s="8"/>
      <c r="AL739" s="7"/>
      <c r="AM739" s="4"/>
      <c r="AN739" s="7"/>
      <c r="AO739" s="7"/>
      <c r="AP739" s="7"/>
      <c r="AQ739" s="4"/>
      <c r="AR739" s="7"/>
      <c r="AS739" s="4"/>
      <c r="AT739" s="7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</row>
    <row r="740" spans="1:63" ht="15.75" customHeight="1">
      <c r="A740" s="3"/>
      <c r="B740" s="3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6"/>
      <c r="AJ740" s="7"/>
      <c r="AK740" s="8"/>
      <c r="AL740" s="7"/>
      <c r="AM740" s="4"/>
      <c r="AN740" s="7"/>
      <c r="AO740" s="7"/>
      <c r="AP740" s="7"/>
      <c r="AQ740" s="4"/>
      <c r="AR740" s="7"/>
      <c r="AS740" s="4"/>
      <c r="AT740" s="7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</row>
    <row r="741" spans="1:63" ht="15.75" customHeight="1">
      <c r="A741" s="3"/>
      <c r="B741" s="3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6"/>
      <c r="AJ741" s="7"/>
      <c r="AK741" s="8"/>
      <c r="AL741" s="7"/>
      <c r="AM741" s="4"/>
      <c r="AN741" s="7"/>
      <c r="AO741" s="7"/>
      <c r="AP741" s="7"/>
      <c r="AQ741" s="4"/>
      <c r="AR741" s="7"/>
      <c r="AS741" s="4"/>
      <c r="AT741" s="7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</row>
    <row r="742" spans="1:63" ht="15.75" customHeight="1">
      <c r="A742" s="3"/>
      <c r="B742" s="3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6"/>
      <c r="AJ742" s="7"/>
      <c r="AK742" s="8"/>
      <c r="AL742" s="7"/>
      <c r="AM742" s="4"/>
      <c r="AN742" s="7"/>
      <c r="AO742" s="7"/>
      <c r="AP742" s="7"/>
      <c r="AQ742" s="4"/>
      <c r="AR742" s="7"/>
      <c r="AS742" s="4"/>
      <c r="AT742" s="7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</row>
    <row r="743" spans="1:63" ht="15.75" customHeight="1">
      <c r="A743" s="3"/>
      <c r="B743" s="3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6"/>
      <c r="AJ743" s="7"/>
      <c r="AK743" s="8"/>
      <c r="AL743" s="7"/>
      <c r="AM743" s="4"/>
      <c r="AN743" s="7"/>
      <c r="AO743" s="7"/>
      <c r="AP743" s="7"/>
      <c r="AQ743" s="4"/>
      <c r="AR743" s="7"/>
      <c r="AS743" s="4"/>
      <c r="AT743" s="7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</row>
    <row r="744" spans="1:63" ht="15.75" customHeight="1">
      <c r="A744" s="3"/>
      <c r="B744" s="3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6"/>
      <c r="AJ744" s="7"/>
      <c r="AK744" s="8"/>
      <c r="AL744" s="7"/>
      <c r="AM744" s="4"/>
      <c r="AN744" s="7"/>
      <c r="AO744" s="7"/>
      <c r="AP744" s="7"/>
      <c r="AQ744" s="4"/>
      <c r="AR744" s="7"/>
      <c r="AS744" s="4"/>
      <c r="AT744" s="7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</row>
    <row r="745" spans="1:63" ht="15.75" customHeight="1">
      <c r="A745" s="3"/>
      <c r="B745" s="3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6"/>
      <c r="AJ745" s="7"/>
      <c r="AK745" s="8"/>
      <c r="AL745" s="7"/>
      <c r="AM745" s="4"/>
      <c r="AN745" s="7"/>
      <c r="AO745" s="7"/>
      <c r="AP745" s="7"/>
      <c r="AQ745" s="4"/>
      <c r="AR745" s="7"/>
      <c r="AS745" s="4"/>
      <c r="AT745" s="7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</row>
    <row r="746" spans="1:63" ht="15.75" customHeight="1">
      <c r="A746" s="3"/>
      <c r="B746" s="3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6"/>
      <c r="AJ746" s="7"/>
      <c r="AK746" s="8"/>
      <c r="AL746" s="7"/>
      <c r="AM746" s="4"/>
      <c r="AN746" s="7"/>
      <c r="AO746" s="7"/>
      <c r="AP746" s="7"/>
      <c r="AQ746" s="4"/>
      <c r="AR746" s="7"/>
      <c r="AS746" s="4"/>
      <c r="AT746" s="7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</row>
    <row r="747" spans="1:63" ht="15.75" customHeight="1">
      <c r="A747" s="3"/>
      <c r="B747" s="3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6"/>
      <c r="AJ747" s="7"/>
      <c r="AK747" s="8"/>
      <c r="AL747" s="7"/>
      <c r="AM747" s="4"/>
      <c r="AN747" s="7"/>
      <c r="AO747" s="7"/>
      <c r="AP747" s="7"/>
      <c r="AQ747" s="4"/>
      <c r="AR747" s="7"/>
      <c r="AS747" s="4"/>
      <c r="AT747" s="7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</row>
    <row r="748" spans="1:63" ht="15.75" customHeight="1">
      <c r="A748" s="3"/>
      <c r="B748" s="3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6"/>
      <c r="AJ748" s="7"/>
      <c r="AK748" s="8"/>
      <c r="AL748" s="7"/>
      <c r="AM748" s="4"/>
      <c r="AN748" s="7"/>
      <c r="AO748" s="7"/>
      <c r="AP748" s="7"/>
      <c r="AQ748" s="4"/>
      <c r="AR748" s="7"/>
      <c r="AS748" s="4"/>
      <c r="AT748" s="7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</row>
    <row r="749" spans="1:63" ht="15.75" customHeight="1">
      <c r="A749" s="3"/>
      <c r="B749" s="3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6"/>
      <c r="AJ749" s="7"/>
      <c r="AK749" s="8"/>
      <c r="AL749" s="7"/>
      <c r="AM749" s="4"/>
      <c r="AN749" s="7"/>
      <c r="AO749" s="7"/>
      <c r="AP749" s="7"/>
      <c r="AQ749" s="4"/>
      <c r="AR749" s="7"/>
      <c r="AS749" s="4"/>
      <c r="AT749" s="7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</row>
    <row r="750" spans="1:63" ht="15.75" customHeight="1">
      <c r="A750" s="3"/>
      <c r="B750" s="3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6"/>
      <c r="AJ750" s="7"/>
      <c r="AK750" s="8"/>
      <c r="AL750" s="7"/>
      <c r="AM750" s="4"/>
      <c r="AN750" s="7"/>
      <c r="AO750" s="7"/>
      <c r="AP750" s="7"/>
      <c r="AQ750" s="4"/>
      <c r="AR750" s="7"/>
      <c r="AS750" s="4"/>
      <c r="AT750" s="7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</row>
    <row r="751" spans="1:63" ht="15.75" customHeight="1">
      <c r="A751" s="3"/>
      <c r="B751" s="3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6"/>
      <c r="AJ751" s="7"/>
      <c r="AK751" s="8"/>
      <c r="AL751" s="7"/>
      <c r="AM751" s="4"/>
      <c r="AN751" s="7"/>
      <c r="AO751" s="7"/>
      <c r="AP751" s="7"/>
      <c r="AQ751" s="4"/>
      <c r="AR751" s="7"/>
      <c r="AS751" s="4"/>
      <c r="AT751" s="7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</row>
    <row r="752" spans="1:63" ht="15.75" customHeight="1">
      <c r="A752" s="3"/>
      <c r="B752" s="3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6"/>
      <c r="AJ752" s="7"/>
      <c r="AK752" s="8"/>
      <c r="AL752" s="7"/>
      <c r="AM752" s="4"/>
      <c r="AN752" s="7"/>
      <c r="AO752" s="7"/>
      <c r="AP752" s="7"/>
      <c r="AQ752" s="4"/>
      <c r="AR752" s="7"/>
      <c r="AS752" s="4"/>
      <c r="AT752" s="7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</row>
    <row r="753" spans="1:63" ht="15.75" customHeight="1">
      <c r="A753" s="3"/>
      <c r="B753" s="3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6"/>
      <c r="AJ753" s="7"/>
      <c r="AK753" s="8"/>
      <c r="AL753" s="7"/>
      <c r="AM753" s="4"/>
      <c r="AN753" s="7"/>
      <c r="AO753" s="7"/>
      <c r="AP753" s="7"/>
      <c r="AQ753" s="4"/>
      <c r="AR753" s="7"/>
      <c r="AS753" s="4"/>
      <c r="AT753" s="7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</row>
    <row r="754" spans="1:63" ht="15.75" customHeight="1">
      <c r="A754" s="3"/>
      <c r="B754" s="3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6"/>
      <c r="AJ754" s="7"/>
      <c r="AK754" s="8"/>
      <c r="AL754" s="7"/>
      <c r="AM754" s="4"/>
      <c r="AN754" s="7"/>
      <c r="AO754" s="7"/>
      <c r="AP754" s="7"/>
      <c r="AQ754" s="4"/>
      <c r="AR754" s="7"/>
      <c r="AS754" s="4"/>
      <c r="AT754" s="7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</row>
    <row r="755" spans="1:63" ht="15.75" customHeight="1">
      <c r="A755" s="3"/>
      <c r="B755" s="3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6"/>
      <c r="AJ755" s="7"/>
      <c r="AK755" s="8"/>
      <c r="AL755" s="7"/>
      <c r="AM755" s="4"/>
      <c r="AN755" s="7"/>
      <c r="AO755" s="7"/>
      <c r="AP755" s="7"/>
      <c r="AQ755" s="4"/>
      <c r="AR755" s="7"/>
      <c r="AS755" s="4"/>
      <c r="AT755" s="7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</row>
    <row r="756" spans="1:63" ht="15.75" customHeight="1">
      <c r="A756" s="3"/>
      <c r="B756" s="3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6"/>
      <c r="AJ756" s="7"/>
      <c r="AK756" s="8"/>
      <c r="AL756" s="7"/>
      <c r="AM756" s="4"/>
      <c r="AN756" s="7"/>
      <c r="AO756" s="7"/>
      <c r="AP756" s="7"/>
      <c r="AQ756" s="4"/>
      <c r="AR756" s="7"/>
      <c r="AS756" s="4"/>
      <c r="AT756" s="7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</row>
    <row r="757" spans="1:63" ht="15.75" customHeight="1">
      <c r="A757" s="3"/>
      <c r="B757" s="3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6"/>
      <c r="AJ757" s="7"/>
      <c r="AK757" s="8"/>
      <c r="AL757" s="7"/>
      <c r="AM757" s="4"/>
      <c r="AN757" s="7"/>
      <c r="AO757" s="7"/>
      <c r="AP757" s="7"/>
      <c r="AQ757" s="4"/>
      <c r="AR757" s="7"/>
      <c r="AS757" s="4"/>
      <c r="AT757" s="7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</row>
    <row r="758" spans="1:63" ht="15.75" customHeight="1">
      <c r="A758" s="3"/>
      <c r="B758" s="3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6"/>
      <c r="AJ758" s="7"/>
      <c r="AK758" s="8"/>
      <c r="AL758" s="7"/>
      <c r="AM758" s="4"/>
      <c r="AN758" s="7"/>
      <c r="AO758" s="7"/>
      <c r="AP758" s="7"/>
      <c r="AQ758" s="4"/>
      <c r="AR758" s="7"/>
      <c r="AS758" s="4"/>
      <c r="AT758" s="7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</row>
    <row r="759" spans="1:63" ht="15.75" customHeight="1">
      <c r="A759" s="3"/>
      <c r="B759" s="3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6"/>
      <c r="AJ759" s="7"/>
      <c r="AK759" s="8"/>
      <c r="AL759" s="7"/>
      <c r="AM759" s="4"/>
      <c r="AN759" s="7"/>
      <c r="AO759" s="7"/>
      <c r="AP759" s="7"/>
      <c r="AQ759" s="4"/>
      <c r="AR759" s="7"/>
      <c r="AS759" s="4"/>
      <c r="AT759" s="7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</row>
    <row r="760" spans="1:63" ht="15.75" customHeight="1">
      <c r="A760" s="3"/>
      <c r="B760" s="3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6"/>
      <c r="AJ760" s="7"/>
      <c r="AK760" s="8"/>
      <c r="AL760" s="7"/>
      <c r="AM760" s="4"/>
      <c r="AN760" s="7"/>
      <c r="AO760" s="7"/>
      <c r="AP760" s="7"/>
      <c r="AQ760" s="4"/>
      <c r="AR760" s="7"/>
      <c r="AS760" s="4"/>
      <c r="AT760" s="7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</row>
    <row r="761" spans="1:63" ht="15.75" customHeight="1">
      <c r="A761" s="3"/>
      <c r="B761" s="3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6"/>
      <c r="AJ761" s="7"/>
      <c r="AK761" s="8"/>
      <c r="AL761" s="7"/>
      <c r="AM761" s="4"/>
      <c r="AN761" s="7"/>
      <c r="AO761" s="7"/>
      <c r="AP761" s="7"/>
      <c r="AQ761" s="4"/>
      <c r="AR761" s="7"/>
      <c r="AS761" s="4"/>
      <c r="AT761" s="7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</row>
    <row r="762" spans="1:63" ht="15.75" customHeight="1">
      <c r="A762" s="3"/>
      <c r="B762" s="3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6"/>
      <c r="AJ762" s="7"/>
      <c r="AK762" s="8"/>
      <c r="AL762" s="7"/>
      <c r="AM762" s="4"/>
      <c r="AN762" s="7"/>
      <c r="AO762" s="7"/>
      <c r="AP762" s="7"/>
      <c r="AQ762" s="4"/>
      <c r="AR762" s="7"/>
      <c r="AS762" s="4"/>
      <c r="AT762" s="7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</row>
    <row r="763" spans="1:63" ht="15.75" customHeight="1">
      <c r="A763" s="3"/>
      <c r="B763" s="3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6"/>
      <c r="AJ763" s="7"/>
      <c r="AK763" s="8"/>
      <c r="AL763" s="7"/>
      <c r="AM763" s="4"/>
      <c r="AN763" s="7"/>
      <c r="AO763" s="7"/>
      <c r="AP763" s="7"/>
      <c r="AQ763" s="4"/>
      <c r="AR763" s="7"/>
      <c r="AS763" s="4"/>
      <c r="AT763" s="7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</row>
    <row r="764" spans="1:63" ht="15.75" customHeight="1">
      <c r="A764" s="3"/>
      <c r="B764" s="3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6"/>
      <c r="AJ764" s="7"/>
      <c r="AK764" s="8"/>
      <c r="AL764" s="7"/>
      <c r="AM764" s="4"/>
      <c r="AN764" s="7"/>
      <c r="AO764" s="7"/>
      <c r="AP764" s="7"/>
      <c r="AQ764" s="4"/>
      <c r="AR764" s="7"/>
      <c r="AS764" s="4"/>
      <c r="AT764" s="7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</row>
    <row r="765" spans="1:63" ht="15.75" customHeight="1">
      <c r="A765" s="3"/>
      <c r="B765" s="3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6"/>
      <c r="AJ765" s="7"/>
      <c r="AK765" s="8"/>
      <c r="AL765" s="7"/>
      <c r="AM765" s="4"/>
      <c r="AN765" s="7"/>
      <c r="AO765" s="7"/>
      <c r="AP765" s="7"/>
      <c r="AQ765" s="4"/>
      <c r="AR765" s="7"/>
      <c r="AS765" s="4"/>
      <c r="AT765" s="7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</row>
    <row r="766" spans="1:63" ht="15.75" customHeight="1">
      <c r="A766" s="3"/>
      <c r="B766" s="3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6"/>
      <c r="AJ766" s="7"/>
      <c r="AK766" s="8"/>
      <c r="AL766" s="7"/>
      <c r="AM766" s="4"/>
      <c r="AN766" s="7"/>
      <c r="AO766" s="7"/>
      <c r="AP766" s="7"/>
      <c r="AQ766" s="4"/>
      <c r="AR766" s="7"/>
      <c r="AS766" s="4"/>
      <c r="AT766" s="7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</row>
    <row r="767" spans="1:63" ht="15.75" customHeight="1">
      <c r="A767" s="3"/>
      <c r="B767" s="3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6"/>
      <c r="AJ767" s="7"/>
      <c r="AK767" s="8"/>
      <c r="AL767" s="7"/>
      <c r="AM767" s="4"/>
      <c r="AN767" s="7"/>
      <c r="AO767" s="7"/>
      <c r="AP767" s="7"/>
      <c r="AQ767" s="4"/>
      <c r="AR767" s="7"/>
      <c r="AS767" s="4"/>
      <c r="AT767" s="7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</row>
    <row r="768" spans="1:63" ht="15.75" customHeight="1">
      <c r="A768" s="3"/>
      <c r="B768" s="3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6"/>
      <c r="AJ768" s="7"/>
      <c r="AK768" s="8"/>
      <c r="AL768" s="7"/>
      <c r="AM768" s="4"/>
      <c r="AN768" s="7"/>
      <c r="AO768" s="7"/>
      <c r="AP768" s="7"/>
      <c r="AQ768" s="4"/>
      <c r="AR768" s="7"/>
      <c r="AS768" s="4"/>
      <c r="AT768" s="7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</row>
    <row r="769" spans="1:63" ht="15.75" customHeight="1">
      <c r="A769" s="3"/>
      <c r="B769" s="3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6"/>
      <c r="AJ769" s="7"/>
      <c r="AK769" s="8"/>
      <c r="AL769" s="7"/>
      <c r="AM769" s="4"/>
      <c r="AN769" s="7"/>
      <c r="AO769" s="7"/>
      <c r="AP769" s="7"/>
      <c r="AQ769" s="4"/>
      <c r="AR769" s="7"/>
      <c r="AS769" s="4"/>
      <c r="AT769" s="7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</row>
    <row r="770" spans="1:63" ht="15.75" customHeight="1">
      <c r="A770" s="3"/>
      <c r="B770" s="3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6"/>
      <c r="AJ770" s="7"/>
      <c r="AK770" s="8"/>
      <c r="AL770" s="7"/>
      <c r="AM770" s="4"/>
      <c r="AN770" s="7"/>
      <c r="AO770" s="7"/>
      <c r="AP770" s="7"/>
      <c r="AQ770" s="4"/>
      <c r="AR770" s="7"/>
      <c r="AS770" s="4"/>
      <c r="AT770" s="7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</row>
    <row r="771" spans="1:63" ht="15.75" customHeight="1">
      <c r="A771" s="3"/>
      <c r="B771" s="3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6"/>
      <c r="AJ771" s="7"/>
      <c r="AK771" s="8"/>
      <c r="AL771" s="7"/>
      <c r="AM771" s="4"/>
      <c r="AN771" s="7"/>
      <c r="AO771" s="7"/>
      <c r="AP771" s="7"/>
      <c r="AQ771" s="4"/>
      <c r="AR771" s="7"/>
      <c r="AS771" s="4"/>
      <c r="AT771" s="7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</row>
    <row r="772" spans="1:63" ht="15.75" customHeight="1">
      <c r="A772" s="3"/>
      <c r="B772" s="3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6"/>
      <c r="AJ772" s="7"/>
      <c r="AK772" s="8"/>
      <c r="AL772" s="7"/>
      <c r="AM772" s="4"/>
      <c r="AN772" s="7"/>
      <c r="AO772" s="7"/>
      <c r="AP772" s="7"/>
      <c r="AQ772" s="4"/>
      <c r="AR772" s="7"/>
      <c r="AS772" s="4"/>
      <c r="AT772" s="7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</row>
    <row r="773" spans="1:63" ht="15.75" customHeight="1">
      <c r="A773" s="3"/>
      <c r="B773" s="3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6"/>
      <c r="AJ773" s="7"/>
      <c r="AK773" s="8"/>
      <c r="AL773" s="7"/>
      <c r="AM773" s="4"/>
      <c r="AN773" s="7"/>
      <c r="AO773" s="7"/>
      <c r="AP773" s="7"/>
      <c r="AQ773" s="4"/>
      <c r="AR773" s="7"/>
      <c r="AS773" s="4"/>
      <c r="AT773" s="7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</row>
    <row r="774" spans="1:63" ht="15.75" customHeight="1">
      <c r="A774" s="3"/>
      <c r="B774" s="3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6"/>
      <c r="AJ774" s="7"/>
      <c r="AK774" s="8"/>
      <c r="AL774" s="7"/>
      <c r="AM774" s="4"/>
      <c r="AN774" s="7"/>
      <c r="AO774" s="7"/>
      <c r="AP774" s="7"/>
      <c r="AQ774" s="4"/>
      <c r="AR774" s="7"/>
      <c r="AS774" s="4"/>
      <c r="AT774" s="7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</row>
    <row r="775" spans="1:63" ht="15.75" customHeight="1">
      <c r="A775" s="3"/>
      <c r="B775" s="3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6"/>
      <c r="AJ775" s="7"/>
      <c r="AK775" s="8"/>
      <c r="AL775" s="7"/>
      <c r="AM775" s="4"/>
      <c r="AN775" s="7"/>
      <c r="AO775" s="7"/>
      <c r="AP775" s="7"/>
      <c r="AQ775" s="4"/>
      <c r="AR775" s="7"/>
      <c r="AS775" s="4"/>
      <c r="AT775" s="7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</row>
    <row r="776" spans="1:63" ht="15.75" customHeight="1">
      <c r="A776" s="3"/>
      <c r="B776" s="3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6"/>
      <c r="AJ776" s="7"/>
      <c r="AK776" s="8"/>
      <c r="AL776" s="7"/>
      <c r="AM776" s="4"/>
      <c r="AN776" s="7"/>
      <c r="AO776" s="7"/>
      <c r="AP776" s="7"/>
      <c r="AQ776" s="4"/>
      <c r="AR776" s="7"/>
      <c r="AS776" s="4"/>
      <c r="AT776" s="7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</row>
    <row r="777" spans="1:63" ht="15.75" customHeight="1">
      <c r="A777" s="3"/>
      <c r="B777" s="3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6"/>
      <c r="AJ777" s="7"/>
      <c r="AK777" s="8"/>
      <c r="AL777" s="7"/>
      <c r="AM777" s="4"/>
      <c r="AN777" s="7"/>
      <c r="AO777" s="7"/>
      <c r="AP777" s="7"/>
      <c r="AQ777" s="4"/>
      <c r="AR777" s="7"/>
      <c r="AS777" s="4"/>
      <c r="AT777" s="7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</row>
    <row r="778" spans="1:63" ht="15.75" customHeight="1">
      <c r="A778" s="3"/>
      <c r="B778" s="3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6"/>
      <c r="AJ778" s="7"/>
      <c r="AK778" s="8"/>
      <c r="AL778" s="7"/>
      <c r="AM778" s="4"/>
      <c r="AN778" s="7"/>
      <c r="AO778" s="7"/>
      <c r="AP778" s="7"/>
      <c r="AQ778" s="4"/>
      <c r="AR778" s="7"/>
      <c r="AS778" s="4"/>
      <c r="AT778" s="7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</row>
    <row r="779" spans="1:63" ht="15.75" customHeight="1">
      <c r="A779" s="3"/>
      <c r="B779" s="3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6"/>
      <c r="AJ779" s="7"/>
      <c r="AK779" s="8"/>
      <c r="AL779" s="7"/>
      <c r="AM779" s="4"/>
      <c r="AN779" s="7"/>
      <c r="AO779" s="7"/>
      <c r="AP779" s="7"/>
      <c r="AQ779" s="4"/>
      <c r="AR779" s="7"/>
      <c r="AS779" s="4"/>
      <c r="AT779" s="7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</row>
    <row r="780" spans="1:63" ht="15.75" customHeight="1">
      <c r="A780" s="3"/>
      <c r="B780" s="3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6"/>
      <c r="AJ780" s="7"/>
      <c r="AK780" s="8"/>
      <c r="AL780" s="7"/>
      <c r="AM780" s="4"/>
      <c r="AN780" s="7"/>
      <c r="AO780" s="7"/>
      <c r="AP780" s="7"/>
      <c r="AQ780" s="4"/>
      <c r="AR780" s="7"/>
      <c r="AS780" s="4"/>
      <c r="AT780" s="7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</row>
    <row r="781" spans="1:63" ht="15.75" customHeight="1">
      <c r="A781" s="3"/>
      <c r="B781" s="3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6"/>
      <c r="AJ781" s="7"/>
      <c r="AK781" s="8"/>
      <c r="AL781" s="7"/>
      <c r="AM781" s="4"/>
      <c r="AN781" s="7"/>
      <c r="AO781" s="7"/>
      <c r="AP781" s="7"/>
      <c r="AQ781" s="4"/>
      <c r="AR781" s="7"/>
      <c r="AS781" s="4"/>
      <c r="AT781" s="7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</row>
    <row r="782" spans="1:63" ht="15.75" customHeight="1">
      <c r="A782" s="3"/>
      <c r="B782" s="3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6"/>
      <c r="AJ782" s="7"/>
      <c r="AK782" s="8"/>
      <c r="AL782" s="7"/>
      <c r="AM782" s="4"/>
      <c r="AN782" s="7"/>
      <c r="AO782" s="7"/>
      <c r="AP782" s="7"/>
      <c r="AQ782" s="4"/>
      <c r="AR782" s="7"/>
      <c r="AS782" s="4"/>
      <c r="AT782" s="7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</row>
    <row r="783" spans="1:63" ht="15.75" customHeight="1">
      <c r="A783" s="3"/>
      <c r="B783" s="3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6"/>
      <c r="AJ783" s="7"/>
      <c r="AK783" s="8"/>
      <c r="AL783" s="7"/>
      <c r="AM783" s="4"/>
      <c r="AN783" s="7"/>
      <c r="AO783" s="7"/>
      <c r="AP783" s="7"/>
      <c r="AQ783" s="4"/>
      <c r="AR783" s="7"/>
      <c r="AS783" s="4"/>
      <c r="AT783" s="7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</row>
    <row r="784" spans="1:63" ht="15.75" customHeight="1">
      <c r="A784" s="3"/>
      <c r="B784" s="3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6"/>
      <c r="AJ784" s="7"/>
      <c r="AK784" s="8"/>
      <c r="AL784" s="7"/>
      <c r="AM784" s="4"/>
      <c r="AN784" s="7"/>
      <c r="AO784" s="7"/>
      <c r="AP784" s="7"/>
      <c r="AQ784" s="4"/>
      <c r="AR784" s="7"/>
      <c r="AS784" s="4"/>
      <c r="AT784" s="7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</row>
    <row r="785" spans="1:63" ht="15.75" customHeight="1">
      <c r="A785" s="3"/>
      <c r="B785" s="3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6"/>
      <c r="AJ785" s="7"/>
      <c r="AK785" s="8"/>
      <c r="AL785" s="7"/>
      <c r="AM785" s="4"/>
      <c r="AN785" s="7"/>
      <c r="AO785" s="7"/>
      <c r="AP785" s="7"/>
      <c r="AQ785" s="4"/>
      <c r="AR785" s="7"/>
      <c r="AS785" s="4"/>
      <c r="AT785" s="7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</row>
    <row r="786" spans="1:63" ht="15.75" customHeight="1">
      <c r="A786" s="3"/>
      <c r="B786" s="3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6"/>
      <c r="AJ786" s="7"/>
      <c r="AK786" s="8"/>
      <c r="AL786" s="7"/>
      <c r="AM786" s="4"/>
      <c r="AN786" s="7"/>
      <c r="AO786" s="7"/>
      <c r="AP786" s="7"/>
      <c r="AQ786" s="4"/>
      <c r="AR786" s="7"/>
      <c r="AS786" s="4"/>
      <c r="AT786" s="7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</row>
    <row r="787" spans="1:63" ht="15.75" customHeight="1">
      <c r="A787" s="3"/>
      <c r="B787" s="3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6"/>
      <c r="AJ787" s="7"/>
      <c r="AK787" s="8"/>
      <c r="AL787" s="7"/>
      <c r="AM787" s="4"/>
      <c r="AN787" s="7"/>
      <c r="AO787" s="7"/>
      <c r="AP787" s="7"/>
      <c r="AQ787" s="4"/>
      <c r="AR787" s="7"/>
      <c r="AS787" s="4"/>
      <c r="AT787" s="7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</row>
    <row r="788" spans="1:63" ht="15.75" customHeight="1">
      <c r="A788" s="3"/>
      <c r="B788" s="3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6"/>
      <c r="AJ788" s="7"/>
      <c r="AK788" s="8"/>
      <c r="AL788" s="7"/>
      <c r="AM788" s="4"/>
      <c r="AN788" s="7"/>
      <c r="AO788" s="7"/>
      <c r="AP788" s="7"/>
      <c r="AQ788" s="4"/>
      <c r="AR788" s="7"/>
      <c r="AS788" s="4"/>
      <c r="AT788" s="7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</row>
    <row r="789" spans="1:63" ht="15.75" customHeight="1">
      <c r="A789" s="3"/>
      <c r="B789" s="3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6"/>
      <c r="AJ789" s="7"/>
      <c r="AK789" s="8"/>
      <c r="AL789" s="7"/>
      <c r="AM789" s="4"/>
      <c r="AN789" s="7"/>
      <c r="AO789" s="7"/>
      <c r="AP789" s="7"/>
      <c r="AQ789" s="4"/>
      <c r="AR789" s="7"/>
      <c r="AS789" s="4"/>
      <c r="AT789" s="7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</row>
    <row r="790" spans="1:63" ht="15.75" customHeight="1">
      <c r="A790" s="3"/>
      <c r="B790" s="3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6"/>
      <c r="AJ790" s="7"/>
      <c r="AK790" s="8"/>
      <c r="AL790" s="7"/>
      <c r="AM790" s="4"/>
      <c r="AN790" s="7"/>
      <c r="AO790" s="7"/>
      <c r="AP790" s="7"/>
      <c r="AQ790" s="4"/>
      <c r="AR790" s="7"/>
      <c r="AS790" s="4"/>
      <c r="AT790" s="7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</row>
    <row r="791" spans="1:63" ht="15.75" customHeight="1">
      <c r="A791" s="3"/>
      <c r="B791" s="3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6"/>
      <c r="AJ791" s="7"/>
      <c r="AK791" s="8"/>
      <c r="AL791" s="7"/>
      <c r="AM791" s="4"/>
      <c r="AN791" s="7"/>
      <c r="AO791" s="7"/>
      <c r="AP791" s="7"/>
      <c r="AQ791" s="4"/>
      <c r="AR791" s="7"/>
      <c r="AS791" s="4"/>
      <c r="AT791" s="7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</row>
    <row r="792" spans="1:63" ht="15.75" customHeight="1">
      <c r="A792" s="3"/>
      <c r="B792" s="3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6"/>
      <c r="AJ792" s="7"/>
      <c r="AK792" s="8"/>
      <c r="AL792" s="7"/>
      <c r="AM792" s="4"/>
      <c r="AN792" s="7"/>
      <c r="AO792" s="7"/>
      <c r="AP792" s="7"/>
      <c r="AQ792" s="4"/>
      <c r="AR792" s="7"/>
      <c r="AS792" s="4"/>
      <c r="AT792" s="7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</row>
    <row r="793" spans="1:63" ht="15.75" customHeight="1">
      <c r="A793" s="3"/>
      <c r="B793" s="3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6"/>
      <c r="AJ793" s="7"/>
      <c r="AK793" s="8"/>
      <c r="AL793" s="7"/>
      <c r="AM793" s="4"/>
      <c r="AN793" s="7"/>
      <c r="AO793" s="7"/>
      <c r="AP793" s="7"/>
      <c r="AQ793" s="4"/>
      <c r="AR793" s="7"/>
      <c r="AS793" s="4"/>
      <c r="AT793" s="7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</row>
    <row r="794" spans="1:63" ht="15.75" customHeight="1">
      <c r="A794" s="3"/>
      <c r="B794" s="3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6"/>
      <c r="AJ794" s="7"/>
      <c r="AK794" s="8"/>
      <c r="AL794" s="7"/>
      <c r="AM794" s="4"/>
      <c r="AN794" s="7"/>
      <c r="AO794" s="7"/>
      <c r="AP794" s="7"/>
      <c r="AQ794" s="4"/>
      <c r="AR794" s="7"/>
      <c r="AS794" s="4"/>
      <c r="AT794" s="7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</row>
    <row r="795" spans="1:63" ht="15.75" customHeight="1">
      <c r="A795" s="3"/>
      <c r="B795" s="3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6"/>
      <c r="AJ795" s="7"/>
      <c r="AK795" s="8"/>
      <c r="AL795" s="7"/>
      <c r="AM795" s="4"/>
      <c r="AN795" s="7"/>
      <c r="AO795" s="7"/>
      <c r="AP795" s="7"/>
      <c r="AQ795" s="4"/>
      <c r="AR795" s="7"/>
      <c r="AS795" s="4"/>
      <c r="AT795" s="7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</row>
    <row r="796" spans="1:63" ht="15.75" customHeight="1">
      <c r="A796" s="3"/>
      <c r="B796" s="3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6"/>
      <c r="AJ796" s="7"/>
      <c r="AK796" s="8"/>
      <c r="AL796" s="7"/>
      <c r="AM796" s="4"/>
      <c r="AN796" s="7"/>
      <c r="AO796" s="7"/>
      <c r="AP796" s="7"/>
      <c r="AQ796" s="4"/>
      <c r="AR796" s="7"/>
      <c r="AS796" s="4"/>
      <c r="AT796" s="7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</row>
    <row r="797" spans="1:63" ht="15.75" customHeight="1">
      <c r="A797" s="3"/>
      <c r="B797" s="3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6"/>
      <c r="AJ797" s="7"/>
      <c r="AK797" s="8"/>
      <c r="AL797" s="7"/>
      <c r="AM797" s="4"/>
      <c r="AN797" s="7"/>
      <c r="AO797" s="7"/>
      <c r="AP797" s="7"/>
      <c r="AQ797" s="4"/>
      <c r="AR797" s="7"/>
      <c r="AS797" s="4"/>
      <c r="AT797" s="7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</row>
    <row r="798" spans="1:63" ht="15.75" customHeight="1">
      <c r="A798" s="3"/>
      <c r="B798" s="3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6"/>
      <c r="AJ798" s="7"/>
      <c r="AK798" s="8"/>
      <c r="AL798" s="7"/>
      <c r="AM798" s="4"/>
      <c r="AN798" s="7"/>
      <c r="AO798" s="7"/>
      <c r="AP798" s="7"/>
      <c r="AQ798" s="4"/>
      <c r="AR798" s="7"/>
      <c r="AS798" s="4"/>
      <c r="AT798" s="7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</row>
    <row r="799" spans="1:63" ht="15.75" customHeight="1">
      <c r="A799" s="3"/>
      <c r="B799" s="3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6"/>
      <c r="AJ799" s="7"/>
      <c r="AK799" s="8"/>
      <c r="AL799" s="7"/>
      <c r="AM799" s="4"/>
      <c r="AN799" s="7"/>
      <c r="AO799" s="7"/>
      <c r="AP799" s="7"/>
      <c r="AQ799" s="4"/>
      <c r="AR799" s="7"/>
      <c r="AS799" s="4"/>
      <c r="AT799" s="7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</row>
    <row r="800" spans="1:63" ht="15.75" customHeight="1">
      <c r="A800" s="3"/>
      <c r="B800" s="3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6"/>
      <c r="AJ800" s="7"/>
      <c r="AK800" s="8"/>
      <c r="AL800" s="7"/>
      <c r="AM800" s="4"/>
      <c r="AN800" s="7"/>
      <c r="AO800" s="7"/>
      <c r="AP800" s="7"/>
      <c r="AQ800" s="4"/>
      <c r="AR800" s="7"/>
      <c r="AS800" s="4"/>
      <c r="AT800" s="7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</row>
    <row r="801" spans="1:63" ht="15.75" customHeight="1">
      <c r="A801" s="3"/>
      <c r="B801" s="3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6"/>
      <c r="AJ801" s="7"/>
      <c r="AK801" s="8"/>
      <c r="AL801" s="7"/>
      <c r="AM801" s="4"/>
      <c r="AN801" s="7"/>
      <c r="AO801" s="7"/>
      <c r="AP801" s="7"/>
      <c r="AQ801" s="4"/>
      <c r="AR801" s="7"/>
      <c r="AS801" s="4"/>
      <c r="AT801" s="7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</row>
    <row r="802" spans="1:63" ht="15.75" customHeight="1">
      <c r="A802" s="3"/>
      <c r="B802" s="3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6"/>
      <c r="AJ802" s="7"/>
      <c r="AK802" s="8"/>
      <c r="AL802" s="7"/>
      <c r="AM802" s="4"/>
      <c r="AN802" s="7"/>
      <c r="AO802" s="7"/>
      <c r="AP802" s="7"/>
      <c r="AQ802" s="4"/>
      <c r="AR802" s="7"/>
      <c r="AS802" s="4"/>
      <c r="AT802" s="7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</row>
    <row r="803" spans="1:63" ht="15.75" customHeight="1">
      <c r="A803" s="3"/>
      <c r="B803" s="3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6"/>
      <c r="AJ803" s="7"/>
      <c r="AK803" s="8"/>
      <c r="AL803" s="7"/>
      <c r="AM803" s="4"/>
      <c r="AN803" s="7"/>
      <c r="AO803" s="7"/>
      <c r="AP803" s="7"/>
      <c r="AQ803" s="4"/>
      <c r="AR803" s="7"/>
      <c r="AS803" s="4"/>
      <c r="AT803" s="7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</row>
    <row r="804" spans="1:63" ht="15.75" customHeight="1">
      <c r="A804" s="3"/>
      <c r="B804" s="3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6"/>
      <c r="AJ804" s="7"/>
      <c r="AK804" s="8"/>
      <c r="AL804" s="7"/>
      <c r="AM804" s="4"/>
      <c r="AN804" s="7"/>
      <c r="AO804" s="7"/>
      <c r="AP804" s="7"/>
      <c r="AQ804" s="4"/>
      <c r="AR804" s="7"/>
      <c r="AS804" s="4"/>
      <c r="AT804" s="7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</row>
    <row r="805" spans="1:63" ht="15.75" customHeight="1">
      <c r="A805" s="3"/>
      <c r="B805" s="3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6"/>
      <c r="AJ805" s="7"/>
      <c r="AK805" s="8"/>
      <c r="AL805" s="7"/>
      <c r="AM805" s="4"/>
      <c r="AN805" s="7"/>
      <c r="AO805" s="7"/>
      <c r="AP805" s="7"/>
      <c r="AQ805" s="4"/>
      <c r="AR805" s="7"/>
      <c r="AS805" s="4"/>
      <c r="AT805" s="7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</row>
    <row r="806" spans="1:63" ht="15.75" customHeight="1">
      <c r="A806" s="3"/>
      <c r="B806" s="3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6"/>
      <c r="AJ806" s="7"/>
      <c r="AK806" s="8"/>
      <c r="AL806" s="7"/>
      <c r="AM806" s="4"/>
      <c r="AN806" s="7"/>
      <c r="AO806" s="7"/>
      <c r="AP806" s="7"/>
      <c r="AQ806" s="4"/>
      <c r="AR806" s="7"/>
      <c r="AS806" s="4"/>
      <c r="AT806" s="7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</row>
    <row r="807" spans="1:63" ht="15.75" customHeight="1">
      <c r="A807" s="3"/>
      <c r="B807" s="3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6"/>
      <c r="AJ807" s="7"/>
      <c r="AK807" s="8"/>
      <c r="AL807" s="7"/>
      <c r="AM807" s="4"/>
      <c r="AN807" s="7"/>
      <c r="AO807" s="7"/>
      <c r="AP807" s="7"/>
      <c r="AQ807" s="4"/>
      <c r="AR807" s="7"/>
      <c r="AS807" s="4"/>
      <c r="AT807" s="7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</row>
    <row r="808" spans="1:63" ht="15.75" customHeight="1">
      <c r="A808" s="3"/>
      <c r="B808" s="3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6"/>
      <c r="AJ808" s="7"/>
      <c r="AK808" s="8"/>
      <c r="AL808" s="7"/>
      <c r="AM808" s="4"/>
      <c r="AN808" s="7"/>
      <c r="AO808" s="7"/>
      <c r="AP808" s="7"/>
      <c r="AQ808" s="4"/>
      <c r="AR808" s="7"/>
      <c r="AS808" s="4"/>
      <c r="AT808" s="7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</row>
    <row r="809" spans="1:63" ht="15.75" customHeight="1">
      <c r="A809" s="3"/>
      <c r="B809" s="3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6"/>
      <c r="AJ809" s="7"/>
      <c r="AK809" s="8"/>
      <c r="AL809" s="7"/>
      <c r="AM809" s="4"/>
      <c r="AN809" s="7"/>
      <c r="AO809" s="7"/>
      <c r="AP809" s="7"/>
      <c r="AQ809" s="4"/>
      <c r="AR809" s="7"/>
      <c r="AS809" s="4"/>
      <c r="AT809" s="7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</row>
    <row r="810" spans="1:63" ht="15.75" customHeight="1">
      <c r="A810" s="3"/>
      <c r="B810" s="3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6"/>
      <c r="AJ810" s="7"/>
      <c r="AK810" s="8"/>
      <c r="AL810" s="7"/>
      <c r="AM810" s="4"/>
      <c r="AN810" s="7"/>
      <c r="AO810" s="7"/>
      <c r="AP810" s="7"/>
      <c r="AQ810" s="4"/>
      <c r="AR810" s="7"/>
      <c r="AS810" s="4"/>
      <c r="AT810" s="7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</row>
    <row r="811" spans="1:63" ht="15.75" customHeight="1">
      <c r="A811" s="3"/>
      <c r="B811" s="3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6"/>
      <c r="AJ811" s="7"/>
      <c r="AK811" s="8"/>
      <c r="AL811" s="7"/>
      <c r="AM811" s="4"/>
      <c r="AN811" s="7"/>
      <c r="AO811" s="7"/>
      <c r="AP811" s="7"/>
      <c r="AQ811" s="4"/>
      <c r="AR811" s="7"/>
      <c r="AS811" s="4"/>
      <c r="AT811" s="7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</row>
    <row r="812" spans="1:63" ht="15.75" customHeight="1">
      <c r="A812" s="3"/>
      <c r="B812" s="3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6"/>
      <c r="AJ812" s="7"/>
      <c r="AK812" s="8"/>
      <c r="AL812" s="7"/>
      <c r="AM812" s="4"/>
      <c r="AN812" s="7"/>
      <c r="AO812" s="7"/>
      <c r="AP812" s="7"/>
      <c r="AQ812" s="4"/>
      <c r="AR812" s="7"/>
      <c r="AS812" s="4"/>
      <c r="AT812" s="7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</row>
    <row r="813" spans="1:63" ht="15.75" customHeight="1">
      <c r="A813" s="3"/>
      <c r="B813" s="3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6"/>
      <c r="AJ813" s="7"/>
      <c r="AK813" s="8"/>
      <c r="AL813" s="7"/>
      <c r="AM813" s="4"/>
      <c r="AN813" s="7"/>
      <c r="AO813" s="7"/>
      <c r="AP813" s="7"/>
      <c r="AQ813" s="4"/>
      <c r="AR813" s="7"/>
      <c r="AS813" s="4"/>
      <c r="AT813" s="7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</row>
    <row r="814" spans="1:63" ht="15.75" customHeight="1">
      <c r="A814" s="3"/>
      <c r="B814" s="3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6"/>
      <c r="AJ814" s="7"/>
      <c r="AK814" s="8"/>
      <c r="AL814" s="7"/>
      <c r="AM814" s="4"/>
      <c r="AN814" s="7"/>
      <c r="AO814" s="7"/>
      <c r="AP814" s="7"/>
      <c r="AQ814" s="4"/>
      <c r="AR814" s="7"/>
      <c r="AS814" s="4"/>
      <c r="AT814" s="7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</row>
    <row r="815" spans="1:63" ht="15.75" customHeight="1">
      <c r="A815" s="3"/>
      <c r="B815" s="3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6"/>
      <c r="AJ815" s="7"/>
      <c r="AK815" s="8"/>
      <c r="AL815" s="7"/>
      <c r="AM815" s="4"/>
      <c r="AN815" s="7"/>
      <c r="AO815" s="7"/>
      <c r="AP815" s="7"/>
      <c r="AQ815" s="4"/>
      <c r="AR815" s="7"/>
      <c r="AS815" s="4"/>
      <c r="AT815" s="7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</row>
    <row r="816" spans="1:63" ht="15.75" customHeight="1">
      <c r="A816" s="3"/>
      <c r="B816" s="3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6"/>
      <c r="AJ816" s="7"/>
      <c r="AK816" s="8"/>
      <c r="AL816" s="7"/>
      <c r="AM816" s="4"/>
      <c r="AN816" s="7"/>
      <c r="AO816" s="7"/>
      <c r="AP816" s="7"/>
      <c r="AQ816" s="4"/>
      <c r="AR816" s="7"/>
      <c r="AS816" s="4"/>
      <c r="AT816" s="7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</row>
    <row r="817" spans="1:63" ht="15.75" customHeight="1">
      <c r="A817" s="3"/>
      <c r="B817" s="3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6"/>
      <c r="AJ817" s="7"/>
      <c r="AK817" s="8"/>
      <c r="AL817" s="7"/>
      <c r="AM817" s="4"/>
      <c r="AN817" s="7"/>
      <c r="AO817" s="7"/>
      <c r="AP817" s="7"/>
      <c r="AQ817" s="4"/>
      <c r="AR817" s="7"/>
      <c r="AS817" s="4"/>
      <c r="AT817" s="7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</row>
    <row r="818" spans="1:63" ht="15.75" customHeight="1">
      <c r="A818" s="3"/>
      <c r="B818" s="3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6"/>
      <c r="AJ818" s="7"/>
      <c r="AK818" s="8"/>
      <c r="AL818" s="7"/>
      <c r="AM818" s="4"/>
      <c r="AN818" s="7"/>
      <c r="AO818" s="7"/>
      <c r="AP818" s="7"/>
      <c r="AQ818" s="4"/>
      <c r="AR818" s="7"/>
      <c r="AS818" s="4"/>
      <c r="AT818" s="7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</row>
    <row r="819" spans="1:63" ht="15.75" customHeight="1">
      <c r="A819" s="3"/>
      <c r="B819" s="3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6"/>
      <c r="AJ819" s="7"/>
      <c r="AK819" s="8"/>
      <c r="AL819" s="7"/>
      <c r="AM819" s="4"/>
      <c r="AN819" s="7"/>
      <c r="AO819" s="7"/>
      <c r="AP819" s="7"/>
      <c r="AQ819" s="4"/>
      <c r="AR819" s="7"/>
      <c r="AS819" s="4"/>
      <c r="AT819" s="7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</row>
    <row r="820" spans="1:63" ht="15.75" customHeight="1">
      <c r="A820" s="3"/>
      <c r="B820" s="3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6"/>
      <c r="AJ820" s="7"/>
      <c r="AK820" s="8"/>
      <c r="AL820" s="7"/>
      <c r="AM820" s="4"/>
      <c r="AN820" s="7"/>
      <c r="AO820" s="7"/>
      <c r="AP820" s="7"/>
      <c r="AQ820" s="4"/>
      <c r="AR820" s="7"/>
      <c r="AS820" s="4"/>
      <c r="AT820" s="7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</row>
    <row r="821" spans="1:63" ht="15.75" customHeight="1">
      <c r="A821" s="3"/>
      <c r="B821" s="3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6"/>
      <c r="AJ821" s="7"/>
      <c r="AK821" s="8"/>
      <c r="AL821" s="7"/>
      <c r="AM821" s="4"/>
      <c r="AN821" s="7"/>
      <c r="AO821" s="7"/>
      <c r="AP821" s="7"/>
      <c r="AQ821" s="4"/>
      <c r="AR821" s="7"/>
      <c r="AS821" s="4"/>
      <c r="AT821" s="7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</row>
    <row r="822" spans="1:63" ht="15.75" customHeight="1">
      <c r="A822" s="3"/>
      <c r="B822" s="3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6"/>
      <c r="AJ822" s="7"/>
      <c r="AK822" s="8"/>
      <c r="AL822" s="7"/>
      <c r="AM822" s="4"/>
      <c r="AN822" s="7"/>
      <c r="AO822" s="7"/>
      <c r="AP822" s="7"/>
      <c r="AQ822" s="4"/>
      <c r="AR822" s="7"/>
      <c r="AS822" s="4"/>
      <c r="AT822" s="7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</row>
    <row r="823" spans="1:63" ht="15.75" customHeight="1">
      <c r="A823" s="3"/>
      <c r="B823" s="3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6"/>
      <c r="AJ823" s="7"/>
      <c r="AK823" s="8"/>
      <c r="AL823" s="7"/>
      <c r="AM823" s="4"/>
      <c r="AN823" s="7"/>
      <c r="AO823" s="7"/>
      <c r="AP823" s="7"/>
      <c r="AQ823" s="4"/>
      <c r="AR823" s="7"/>
      <c r="AS823" s="4"/>
      <c r="AT823" s="7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</row>
    <row r="824" spans="1:63" ht="15.75" customHeight="1">
      <c r="A824" s="3"/>
      <c r="B824" s="3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6"/>
      <c r="AJ824" s="7"/>
      <c r="AK824" s="8"/>
      <c r="AL824" s="7"/>
      <c r="AM824" s="4"/>
      <c r="AN824" s="7"/>
      <c r="AO824" s="7"/>
      <c r="AP824" s="7"/>
      <c r="AQ824" s="4"/>
      <c r="AR824" s="7"/>
      <c r="AS824" s="4"/>
      <c r="AT824" s="7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</row>
    <row r="825" spans="1:63" ht="15.75" customHeight="1">
      <c r="A825" s="3"/>
      <c r="B825" s="3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6"/>
      <c r="AJ825" s="7"/>
      <c r="AK825" s="8"/>
      <c r="AL825" s="7"/>
      <c r="AM825" s="4"/>
      <c r="AN825" s="7"/>
      <c r="AO825" s="7"/>
      <c r="AP825" s="7"/>
      <c r="AQ825" s="4"/>
      <c r="AR825" s="7"/>
      <c r="AS825" s="4"/>
      <c r="AT825" s="7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</row>
    <row r="826" spans="1:63" ht="15.75" customHeight="1">
      <c r="A826" s="3"/>
      <c r="B826" s="3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6"/>
      <c r="AJ826" s="7"/>
      <c r="AK826" s="8"/>
      <c r="AL826" s="7"/>
      <c r="AM826" s="4"/>
      <c r="AN826" s="7"/>
      <c r="AO826" s="7"/>
      <c r="AP826" s="7"/>
      <c r="AQ826" s="4"/>
      <c r="AR826" s="7"/>
      <c r="AS826" s="4"/>
      <c r="AT826" s="7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</row>
    <row r="827" spans="1:63" ht="15.75" customHeight="1">
      <c r="A827" s="3"/>
      <c r="B827" s="3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6"/>
      <c r="AJ827" s="7"/>
      <c r="AK827" s="8"/>
      <c r="AL827" s="7"/>
      <c r="AM827" s="4"/>
      <c r="AN827" s="7"/>
      <c r="AO827" s="7"/>
      <c r="AP827" s="7"/>
      <c r="AQ827" s="4"/>
      <c r="AR827" s="7"/>
      <c r="AS827" s="4"/>
      <c r="AT827" s="7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</row>
    <row r="828" spans="1:63" ht="15.75" customHeight="1">
      <c r="A828" s="3"/>
      <c r="B828" s="3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6"/>
      <c r="AJ828" s="7"/>
      <c r="AK828" s="8"/>
      <c r="AL828" s="7"/>
      <c r="AM828" s="4"/>
      <c r="AN828" s="7"/>
      <c r="AO828" s="7"/>
      <c r="AP828" s="7"/>
      <c r="AQ828" s="4"/>
      <c r="AR828" s="7"/>
      <c r="AS828" s="4"/>
      <c r="AT828" s="7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</row>
    <row r="829" spans="1:63" ht="15.75" customHeight="1">
      <c r="A829" s="3"/>
      <c r="B829" s="3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6"/>
      <c r="AJ829" s="7"/>
      <c r="AK829" s="8"/>
      <c r="AL829" s="7"/>
      <c r="AM829" s="4"/>
      <c r="AN829" s="7"/>
      <c r="AO829" s="7"/>
      <c r="AP829" s="7"/>
      <c r="AQ829" s="4"/>
      <c r="AR829" s="7"/>
      <c r="AS829" s="4"/>
      <c r="AT829" s="7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</row>
    <row r="830" spans="1:63" ht="15.75" customHeight="1">
      <c r="A830" s="3"/>
      <c r="B830" s="3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6"/>
      <c r="AJ830" s="7"/>
      <c r="AK830" s="8"/>
      <c r="AL830" s="7"/>
      <c r="AM830" s="4"/>
      <c r="AN830" s="7"/>
      <c r="AO830" s="7"/>
      <c r="AP830" s="7"/>
      <c r="AQ830" s="4"/>
      <c r="AR830" s="7"/>
      <c r="AS830" s="4"/>
      <c r="AT830" s="7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</row>
    <row r="831" spans="1:63" ht="15.75" customHeight="1">
      <c r="A831" s="3"/>
      <c r="B831" s="3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6"/>
      <c r="AJ831" s="7"/>
      <c r="AK831" s="8"/>
      <c r="AL831" s="7"/>
      <c r="AM831" s="4"/>
      <c r="AN831" s="7"/>
      <c r="AO831" s="7"/>
      <c r="AP831" s="7"/>
      <c r="AQ831" s="4"/>
      <c r="AR831" s="7"/>
      <c r="AS831" s="4"/>
      <c r="AT831" s="7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</row>
    <row r="832" spans="1:63" ht="15.75" customHeight="1">
      <c r="A832" s="3"/>
      <c r="B832" s="3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6"/>
      <c r="AJ832" s="7"/>
      <c r="AK832" s="8"/>
      <c r="AL832" s="7"/>
      <c r="AM832" s="4"/>
      <c r="AN832" s="7"/>
      <c r="AO832" s="7"/>
      <c r="AP832" s="7"/>
      <c r="AQ832" s="4"/>
      <c r="AR832" s="7"/>
      <c r="AS832" s="4"/>
      <c r="AT832" s="7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</row>
    <row r="833" spans="1:63" ht="15.75" customHeight="1">
      <c r="A833" s="3"/>
      <c r="B833" s="3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6"/>
      <c r="AJ833" s="7"/>
      <c r="AK833" s="8"/>
      <c r="AL833" s="7"/>
      <c r="AM833" s="4"/>
      <c r="AN833" s="7"/>
      <c r="AO833" s="7"/>
      <c r="AP833" s="7"/>
      <c r="AQ833" s="4"/>
      <c r="AR833" s="7"/>
      <c r="AS833" s="4"/>
      <c r="AT833" s="7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</row>
    <row r="834" spans="1:63" ht="15.75" customHeight="1">
      <c r="A834" s="3"/>
      <c r="B834" s="3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6"/>
      <c r="AJ834" s="7"/>
      <c r="AK834" s="8"/>
      <c r="AL834" s="7"/>
      <c r="AM834" s="4"/>
      <c r="AN834" s="7"/>
      <c r="AO834" s="7"/>
      <c r="AP834" s="7"/>
      <c r="AQ834" s="4"/>
      <c r="AR834" s="7"/>
      <c r="AS834" s="4"/>
      <c r="AT834" s="7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</row>
    <row r="835" spans="1:63" ht="15.75" customHeight="1">
      <c r="A835" s="3"/>
      <c r="B835" s="3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6"/>
      <c r="AJ835" s="7"/>
      <c r="AK835" s="8"/>
      <c r="AL835" s="7"/>
      <c r="AM835" s="4"/>
      <c r="AN835" s="7"/>
      <c r="AO835" s="7"/>
      <c r="AP835" s="7"/>
      <c r="AQ835" s="4"/>
      <c r="AR835" s="7"/>
      <c r="AS835" s="4"/>
      <c r="AT835" s="7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</row>
    <row r="836" spans="1:63" ht="15.75" customHeight="1">
      <c r="A836" s="3"/>
      <c r="B836" s="3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6"/>
      <c r="AJ836" s="7"/>
      <c r="AK836" s="8"/>
      <c r="AL836" s="7"/>
      <c r="AM836" s="4"/>
      <c r="AN836" s="7"/>
      <c r="AO836" s="7"/>
      <c r="AP836" s="7"/>
      <c r="AQ836" s="4"/>
      <c r="AR836" s="7"/>
      <c r="AS836" s="4"/>
      <c r="AT836" s="7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</row>
    <row r="837" spans="1:63" ht="15.75" customHeight="1">
      <c r="A837" s="3"/>
      <c r="B837" s="3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6"/>
      <c r="AJ837" s="7"/>
      <c r="AK837" s="8"/>
      <c r="AL837" s="7"/>
      <c r="AM837" s="4"/>
      <c r="AN837" s="7"/>
      <c r="AO837" s="7"/>
      <c r="AP837" s="7"/>
      <c r="AQ837" s="4"/>
      <c r="AR837" s="7"/>
      <c r="AS837" s="4"/>
      <c r="AT837" s="7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</row>
    <row r="838" spans="1:63" ht="15.75" customHeight="1">
      <c r="A838" s="3"/>
      <c r="B838" s="3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6"/>
      <c r="AJ838" s="7"/>
      <c r="AK838" s="8"/>
      <c r="AL838" s="7"/>
      <c r="AM838" s="4"/>
      <c r="AN838" s="7"/>
      <c r="AO838" s="7"/>
      <c r="AP838" s="7"/>
      <c r="AQ838" s="4"/>
      <c r="AR838" s="7"/>
      <c r="AS838" s="4"/>
      <c r="AT838" s="7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</row>
    <row r="839" spans="1:63" ht="15.75" customHeight="1">
      <c r="A839" s="3"/>
      <c r="B839" s="3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6"/>
      <c r="AJ839" s="7"/>
      <c r="AK839" s="8"/>
      <c r="AL839" s="7"/>
      <c r="AM839" s="4"/>
      <c r="AN839" s="7"/>
      <c r="AO839" s="7"/>
      <c r="AP839" s="7"/>
      <c r="AQ839" s="4"/>
      <c r="AR839" s="7"/>
      <c r="AS839" s="4"/>
      <c r="AT839" s="7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</row>
    <row r="840" spans="1:63" ht="15.75" customHeight="1">
      <c r="A840" s="3"/>
      <c r="B840" s="3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6"/>
      <c r="AJ840" s="7"/>
      <c r="AK840" s="8"/>
      <c r="AL840" s="7"/>
      <c r="AM840" s="4"/>
      <c r="AN840" s="7"/>
      <c r="AO840" s="7"/>
      <c r="AP840" s="7"/>
      <c r="AQ840" s="4"/>
      <c r="AR840" s="7"/>
      <c r="AS840" s="4"/>
      <c r="AT840" s="7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</row>
    <row r="841" spans="1:63" ht="15.75" customHeight="1">
      <c r="A841" s="3"/>
      <c r="B841" s="3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6"/>
      <c r="AJ841" s="7"/>
      <c r="AK841" s="8"/>
      <c r="AL841" s="7"/>
      <c r="AM841" s="4"/>
      <c r="AN841" s="7"/>
      <c r="AO841" s="7"/>
      <c r="AP841" s="7"/>
      <c r="AQ841" s="4"/>
      <c r="AR841" s="7"/>
      <c r="AS841" s="4"/>
      <c r="AT841" s="7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</row>
    <row r="842" spans="1:63" ht="15.75" customHeight="1">
      <c r="A842" s="3"/>
      <c r="B842" s="3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6"/>
      <c r="AJ842" s="7"/>
      <c r="AK842" s="8"/>
      <c r="AL842" s="7"/>
      <c r="AM842" s="4"/>
      <c r="AN842" s="7"/>
      <c r="AO842" s="7"/>
      <c r="AP842" s="7"/>
      <c r="AQ842" s="4"/>
      <c r="AR842" s="7"/>
      <c r="AS842" s="4"/>
      <c r="AT842" s="7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</row>
    <row r="843" spans="1:63" ht="15.75" customHeight="1">
      <c r="A843" s="3"/>
      <c r="B843" s="3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6"/>
      <c r="AJ843" s="7"/>
      <c r="AK843" s="8"/>
      <c r="AL843" s="7"/>
      <c r="AM843" s="4"/>
      <c r="AN843" s="7"/>
      <c r="AO843" s="7"/>
      <c r="AP843" s="7"/>
      <c r="AQ843" s="4"/>
      <c r="AR843" s="7"/>
      <c r="AS843" s="4"/>
      <c r="AT843" s="7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</row>
    <row r="844" spans="1:63" ht="15.75" customHeight="1">
      <c r="A844" s="3"/>
      <c r="B844" s="3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6"/>
      <c r="AJ844" s="7"/>
      <c r="AK844" s="8"/>
      <c r="AL844" s="7"/>
      <c r="AM844" s="4"/>
      <c r="AN844" s="7"/>
      <c r="AO844" s="7"/>
      <c r="AP844" s="7"/>
      <c r="AQ844" s="4"/>
      <c r="AR844" s="7"/>
      <c r="AS844" s="4"/>
      <c r="AT844" s="7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</row>
    <row r="845" spans="1:63" ht="15.75" customHeight="1">
      <c r="A845" s="3"/>
      <c r="B845" s="3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6"/>
      <c r="AJ845" s="7"/>
      <c r="AK845" s="8"/>
      <c r="AL845" s="7"/>
      <c r="AM845" s="4"/>
      <c r="AN845" s="7"/>
      <c r="AO845" s="7"/>
      <c r="AP845" s="7"/>
      <c r="AQ845" s="4"/>
      <c r="AR845" s="7"/>
      <c r="AS845" s="4"/>
      <c r="AT845" s="7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</row>
    <row r="846" spans="1:63" ht="15.75" customHeight="1">
      <c r="A846" s="3"/>
      <c r="B846" s="3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6"/>
      <c r="AJ846" s="7"/>
      <c r="AK846" s="8"/>
      <c r="AL846" s="7"/>
      <c r="AM846" s="4"/>
      <c r="AN846" s="7"/>
      <c r="AO846" s="7"/>
      <c r="AP846" s="7"/>
      <c r="AQ846" s="4"/>
      <c r="AR846" s="7"/>
      <c r="AS846" s="4"/>
      <c r="AT846" s="7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</row>
    <row r="847" spans="1:63" ht="15.75" customHeight="1">
      <c r="A847" s="3"/>
      <c r="B847" s="3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6"/>
      <c r="AJ847" s="7"/>
      <c r="AK847" s="8"/>
      <c r="AL847" s="7"/>
      <c r="AM847" s="4"/>
      <c r="AN847" s="7"/>
      <c r="AO847" s="7"/>
      <c r="AP847" s="7"/>
      <c r="AQ847" s="4"/>
      <c r="AR847" s="7"/>
      <c r="AS847" s="4"/>
      <c r="AT847" s="7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</row>
    <row r="848" spans="1:63" ht="15.75" customHeight="1">
      <c r="A848" s="3"/>
      <c r="B848" s="3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6"/>
      <c r="AJ848" s="7"/>
      <c r="AK848" s="8"/>
      <c r="AL848" s="7"/>
      <c r="AM848" s="4"/>
      <c r="AN848" s="7"/>
      <c r="AO848" s="7"/>
      <c r="AP848" s="7"/>
      <c r="AQ848" s="4"/>
      <c r="AR848" s="7"/>
      <c r="AS848" s="4"/>
      <c r="AT848" s="7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</row>
    <row r="849" spans="1:63" ht="15.75" customHeight="1">
      <c r="A849" s="3"/>
      <c r="B849" s="3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6"/>
      <c r="AJ849" s="7"/>
      <c r="AK849" s="8"/>
      <c r="AL849" s="7"/>
      <c r="AM849" s="4"/>
      <c r="AN849" s="7"/>
      <c r="AO849" s="7"/>
      <c r="AP849" s="7"/>
      <c r="AQ849" s="4"/>
      <c r="AR849" s="7"/>
      <c r="AS849" s="4"/>
      <c r="AT849" s="7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</row>
    <row r="850" spans="1:63" ht="15.75" customHeight="1">
      <c r="A850" s="3"/>
      <c r="B850" s="3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6"/>
      <c r="AJ850" s="7"/>
      <c r="AK850" s="8"/>
      <c r="AL850" s="7"/>
      <c r="AM850" s="4"/>
      <c r="AN850" s="7"/>
      <c r="AO850" s="7"/>
      <c r="AP850" s="7"/>
      <c r="AQ850" s="4"/>
      <c r="AR850" s="7"/>
      <c r="AS850" s="4"/>
      <c r="AT850" s="7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</row>
    <row r="851" spans="1:63" ht="15.75" customHeight="1">
      <c r="A851" s="3"/>
      <c r="B851" s="3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6"/>
      <c r="AJ851" s="7"/>
      <c r="AK851" s="8"/>
      <c r="AL851" s="7"/>
      <c r="AM851" s="4"/>
      <c r="AN851" s="7"/>
      <c r="AO851" s="7"/>
      <c r="AP851" s="7"/>
      <c r="AQ851" s="4"/>
      <c r="AR851" s="7"/>
      <c r="AS851" s="4"/>
      <c r="AT851" s="7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</row>
    <row r="852" spans="1:63" ht="15.75" customHeight="1">
      <c r="A852" s="3"/>
      <c r="B852" s="3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6"/>
      <c r="AJ852" s="7"/>
      <c r="AK852" s="8"/>
      <c r="AL852" s="7"/>
      <c r="AM852" s="4"/>
      <c r="AN852" s="7"/>
      <c r="AO852" s="7"/>
      <c r="AP852" s="7"/>
      <c r="AQ852" s="4"/>
      <c r="AR852" s="7"/>
      <c r="AS852" s="4"/>
      <c r="AT852" s="7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</row>
    <row r="853" spans="1:63" ht="15.75" customHeight="1">
      <c r="A853" s="3"/>
      <c r="B853" s="3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6"/>
      <c r="AJ853" s="7"/>
      <c r="AK853" s="8"/>
      <c r="AL853" s="7"/>
      <c r="AM853" s="4"/>
      <c r="AN853" s="7"/>
      <c r="AO853" s="7"/>
      <c r="AP853" s="7"/>
      <c r="AQ853" s="4"/>
      <c r="AR853" s="7"/>
      <c r="AS853" s="4"/>
      <c r="AT853" s="7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</row>
    <row r="854" spans="1:63" ht="15.75" customHeight="1">
      <c r="A854" s="3"/>
      <c r="B854" s="3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6"/>
      <c r="AJ854" s="7"/>
      <c r="AK854" s="8"/>
      <c r="AL854" s="7"/>
      <c r="AM854" s="4"/>
      <c r="AN854" s="7"/>
      <c r="AO854" s="7"/>
      <c r="AP854" s="7"/>
      <c r="AQ854" s="4"/>
      <c r="AR854" s="7"/>
      <c r="AS854" s="4"/>
      <c r="AT854" s="7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</row>
    <row r="855" spans="1:63" ht="15.75" customHeight="1">
      <c r="A855" s="3"/>
      <c r="B855" s="3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6"/>
      <c r="AJ855" s="7"/>
      <c r="AK855" s="8"/>
      <c r="AL855" s="7"/>
      <c r="AM855" s="4"/>
      <c r="AN855" s="7"/>
      <c r="AO855" s="7"/>
      <c r="AP855" s="7"/>
      <c r="AQ855" s="4"/>
      <c r="AR855" s="7"/>
      <c r="AS855" s="4"/>
      <c r="AT855" s="7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</row>
    <row r="856" spans="1:63" ht="15.75" customHeight="1">
      <c r="A856" s="3"/>
      <c r="B856" s="3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6"/>
      <c r="AJ856" s="7"/>
      <c r="AK856" s="8"/>
      <c r="AL856" s="7"/>
      <c r="AM856" s="4"/>
      <c r="AN856" s="7"/>
      <c r="AO856" s="7"/>
      <c r="AP856" s="7"/>
      <c r="AQ856" s="4"/>
      <c r="AR856" s="7"/>
      <c r="AS856" s="4"/>
      <c r="AT856" s="7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</row>
    <row r="857" spans="1:63" ht="15.75" customHeight="1">
      <c r="A857" s="3"/>
      <c r="B857" s="3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6"/>
      <c r="AJ857" s="7"/>
      <c r="AK857" s="8"/>
      <c r="AL857" s="7"/>
      <c r="AM857" s="4"/>
      <c r="AN857" s="7"/>
      <c r="AO857" s="7"/>
      <c r="AP857" s="7"/>
      <c r="AQ857" s="4"/>
      <c r="AR857" s="7"/>
      <c r="AS857" s="4"/>
      <c r="AT857" s="7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</row>
    <row r="858" spans="1:63" ht="15.75" customHeight="1">
      <c r="A858" s="3"/>
      <c r="B858" s="3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6"/>
      <c r="AJ858" s="7"/>
      <c r="AK858" s="8"/>
      <c r="AL858" s="7"/>
      <c r="AM858" s="4"/>
      <c r="AN858" s="7"/>
      <c r="AO858" s="7"/>
      <c r="AP858" s="7"/>
      <c r="AQ858" s="4"/>
      <c r="AR858" s="7"/>
      <c r="AS858" s="4"/>
      <c r="AT858" s="7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</row>
    <row r="859" spans="1:63" ht="15.75" customHeight="1">
      <c r="A859" s="3"/>
      <c r="B859" s="3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6"/>
      <c r="AJ859" s="7"/>
      <c r="AK859" s="8"/>
      <c r="AL859" s="7"/>
      <c r="AM859" s="4"/>
      <c r="AN859" s="7"/>
      <c r="AO859" s="7"/>
      <c r="AP859" s="7"/>
      <c r="AQ859" s="4"/>
      <c r="AR859" s="7"/>
      <c r="AS859" s="4"/>
      <c r="AT859" s="7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</row>
    <row r="860" spans="1:63" ht="15.75" customHeight="1">
      <c r="A860" s="3"/>
      <c r="B860" s="3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6"/>
      <c r="AJ860" s="7"/>
      <c r="AK860" s="8"/>
      <c r="AL860" s="7"/>
      <c r="AM860" s="4"/>
      <c r="AN860" s="7"/>
      <c r="AO860" s="7"/>
      <c r="AP860" s="7"/>
      <c r="AQ860" s="4"/>
      <c r="AR860" s="7"/>
      <c r="AS860" s="4"/>
      <c r="AT860" s="7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</row>
    <row r="861" spans="1:63" ht="15.75" customHeight="1">
      <c r="A861" s="3"/>
      <c r="B861" s="3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6"/>
      <c r="AJ861" s="7"/>
      <c r="AK861" s="8"/>
      <c r="AL861" s="7"/>
      <c r="AM861" s="4"/>
      <c r="AN861" s="7"/>
      <c r="AO861" s="7"/>
      <c r="AP861" s="7"/>
      <c r="AQ861" s="4"/>
      <c r="AR861" s="7"/>
      <c r="AS861" s="4"/>
      <c r="AT861" s="7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</row>
    <row r="862" spans="1:63" ht="15.75" customHeight="1">
      <c r="A862" s="3"/>
      <c r="B862" s="3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6"/>
      <c r="AJ862" s="7"/>
      <c r="AK862" s="8"/>
      <c r="AL862" s="7"/>
      <c r="AM862" s="4"/>
      <c r="AN862" s="7"/>
      <c r="AO862" s="7"/>
      <c r="AP862" s="7"/>
      <c r="AQ862" s="4"/>
      <c r="AR862" s="7"/>
      <c r="AS862" s="4"/>
      <c r="AT862" s="7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</row>
    <row r="863" spans="1:63" ht="15.75" customHeight="1">
      <c r="A863" s="3"/>
      <c r="B863" s="3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6"/>
      <c r="AJ863" s="7"/>
      <c r="AK863" s="8"/>
      <c r="AL863" s="7"/>
      <c r="AM863" s="4"/>
      <c r="AN863" s="7"/>
      <c r="AO863" s="7"/>
      <c r="AP863" s="7"/>
      <c r="AQ863" s="4"/>
      <c r="AR863" s="7"/>
      <c r="AS863" s="4"/>
      <c r="AT863" s="7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</row>
    <row r="864" spans="1:63" ht="15.75" customHeight="1">
      <c r="A864" s="3"/>
      <c r="B864" s="3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6"/>
      <c r="AJ864" s="7"/>
      <c r="AK864" s="8"/>
      <c r="AL864" s="7"/>
      <c r="AM864" s="4"/>
      <c r="AN864" s="7"/>
      <c r="AO864" s="7"/>
      <c r="AP864" s="7"/>
      <c r="AQ864" s="4"/>
      <c r="AR864" s="7"/>
      <c r="AS864" s="4"/>
      <c r="AT864" s="7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</row>
    <row r="865" spans="1:63" ht="15.75" customHeight="1">
      <c r="A865" s="3"/>
      <c r="B865" s="3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6"/>
      <c r="AJ865" s="7"/>
      <c r="AK865" s="8"/>
      <c r="AL865" s="7"/>
      <c r="AM865" s="4"/>
      <c r="AN865" s="7"/>
      <c r="AO865" s="7"/>
      <c r="AP865" s="7"/>
      <c r="AQ865" s="4"/>
      <c r="AR865" s="7"/>
      <c r="AS865" s="4"/>
      <c r="AT865" s="7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</row>
    <row r="866" spans="1:63" ht="15.75" customHeight="1">
      <c r="A866" s="3"/>
      <c r="B866" s="3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6"/>
      <c r="AJ866" s="7"/>
      <c r="AK866" s="8"/>
      <c r="AL866" s="7"/>
      <c r="AM866" s="4"/>
      <c r="AN866" s="7"/>
      <c r="AO866" s="7"/>
      <c r="AP866" s="7"/>
      <c r="AQ866" s="4"/>
      <c r="AR866" s="7"/>
      <c r="AS866" s="4"/>
      <c r="AT866" s="7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</row>
    <row r="867" spans="1:63" ht="15.75" customHeight="1">
      <c r="A867" s="3"/>
      <c r="B867" s="3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6"/>
      <c r="AJ867" s="7"/>
      <c r="AK867" s="8"/>
      <c r="AL867" s="7"/>
      <c r="AM867" s="4"/>
      <c r="AN867" s="7"/>
      <c r="AO867" s="7"/>
      <c r="AP867" s="7"/>
      <c r="AQ867" s="4"/>
      <c r="AR867" s="7"/>
      <c r="AS867" s="4"/>
      <c r="AT867" s="7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</row>
    <row r="868" spans="1:63" ht="15.75" customHeight="1">
      <c r="A868" s="3"/>
      <c r="B868" s="3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6"/>
      <c r="AJ868" s="7"/>
      <c r="AK868" s="8"/>
      <c r="AL868" s="7"/>
      <c r="AM868" s="4"/>
      <c r="AN868" s="7"/>
      <c r="AO868" s="7"/>
      <c r="AP868" s="7"/>
      <c r="AQ868" s="4"/>
      <c r="AR868" s="7"/>
      <c r="AS868" s="4"/>
      <c r="AT868" s="7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</row>
    <row r="869" spans="1:63" ht="15.75" customHeight="1">
      <c r="A869" s="3"/>
      <c r="B869" s="3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6"/>
      <c r="AJ869" s="7"/>
      <c r="AK869" s="8"/>
      <c r="AL869" s="7"/>
      <c r="AM869" s="4"/>
      <c r="AN869" s="7"/>
      <c r="AO869" s="7"/>
      <c r="AP869" s="7"/>
      <c r="AQ869" s="4"/>
      <c r="AR869" s="7"/>
      <c r="AS869" s="4"/>
      <c r="AT869" s="7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</row>
    <row r="870" spans="1:63" ht="15.75" customHeight="1">
      <c r="A870" s="3"/>
      <c r="B870" s="3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6"/>
      <c r="AJ870" s="7"/>
      <c r="AK870" s="8"/>
      <c r="AL870" s="7"/>
      <c r="AM870" s="4"/>
      <c r="AN870" s="7"/>
      <c r="AO870" s="7"/>
      <c r="AP870" s="7"/>
      <c r="AQ870" s="4"/>
      <c r="AR870" s="7"/>
      <c r="AS870" s="4"/>
      <c r="AT870" s="7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</row>
    <row r="871" spans="1:63" ht="15.75" customHeight="1">
      <c r="A871" s="3"/>
      <c r="B871" s="3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6"/>
      <c r="AJ871" s="7"/>
      <c r="AK871" s="8"/>
      <c r="AL871" s="7"/>
      <c r="AM871" s="4"/>
      <c r="AN871" s="7"/>
      <c r="AO871" s="7"/>
      <c r="AP871" s="7"/>
      <c r="AQ871" s="4"/>
      <c r="AR871" s="7"/>
      <c r="AS871" s="4"/>
      <c r="AT871" s="7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</row>
    <row r="872" spans="1:63" ht="15.75" customHeight="1">
      <c r="A872" s="3"/>
      <c r="B872" s="3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6"/>
      <c r="AJ872" s="7"/>
      <c r="AK872" s="8"/>
      <c r="AL872" s="7"/>
      <c r="AM872" s="4"/>
      <c r="AN872" s="7"/>
      <c r="AO872" s="7"/>
      <c r="AP872" s="7"/>
      <c r="AQ872" s="4"/>
      <c r="AR872" s="7"/>
      <c r="AS872" s="4"/>
      <c r="AT872" s="7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</row>
    <row r="873" spans="1:63" ht="15.75" customHeight="1">
      <c r="A873" s="3"/>
      <c r="B873" s="3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6"/>
      <c r="AJ873" s="7"/>
      <c r="AK873" s="8"/>
      <c r="AL873" s="7"/>
      <c r="AM873" s="4"/>
      <c r="AN873" s="7"/>
      <c r="AO873" s="7"/>
      <c r="AP873" s="7"/>
      <c r="AQ873" s="4"/>
      <c r="AR873" s="7"/>
      <c r="AS873" s="4"/>
      <c r="AT873" s="7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</row>
    <row r="874" spans="1:63" ht="15.75" customHeight="1">
      <c r="A874" s="3"/>
      <c r="B874" s="3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6"/>
      <c r="AJ874" s="7"/>
      <c r="AK874" s="8"/>
      <c r="AL874" s="7"/>
      <c r="AM874" s="4"/>
      <c r="AN874" s="7"/>
      <c r="AO874" s="7"/>
      <c r="AP874" s="7"/>
      <c r="AQ874" s="4"/>
      <c r="AR874" s="7"/>
      <c r="AS874" s="4"/>
      <c r="AT874" s="7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</row>
    <row r="875" spans="1:63" ht="15.75" customHeight="1">
      <c r="A875" s="3"/>
      <c r="B875" s="3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6"/>
      <c r="AJ875" s="7"/>
      <c r="AK875" s="8"/>
      <c r="AL875" s="7"/>
      <c r="AM875" s="4"/>
      <c r="AN875" s="7"/>
      <c r="AO875" s="7"/>
      <c r="AP875" s="7"/>
      <c r="AQ875" s="4"/>
      <c r="AR875" s="7"/>
      <c r="AS875" s="4"/>
      <c r="AT875" s="7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</row>
    <row r="876" spans="1:63" ht="15.75" customHeight="1">
      <c r="A876" s="3"/>
      <c r="B876" s="3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6"/>
      <c r="AJ876" s="7"/>
      <c r="AK876" s="8"/>
      <c r="AL876" s="7"/>
      <c r="AM876" s="4"/>
      <c r="AN876" s="7"/>
      <c r="AO876" s="7"/>
      <c r="AP876" s="7"/>
      <c r="AQ876" s="4"/>
      <c r="AR876" s="7"/>
      <c r="AS876" s="4"/>
      <c r="AT876" s="7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</row>
    <row r="877" spans="1:63" ht="15.75" customHeight="1">
      <c r="A877" s="3"/>
      <c r="B877" s="3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6"/>
      <c r="AJ877" s="7"/>
      <c r="AK877" s="8"/>
      <c r="AL877" s="7"/>
      <c r="AM877" s="4"/>
      <c r="AN877" s="7"/>
      <c r="AO877" s="7"/>
      <c r="AP877" s="7"/>
      <c r="AQ877" s="4"/>
      <c r="AR877" s="7"/>
      <c r="AS877" s="4"/>
      <c r="AT877" s="7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</row>
    <row r="878" spans="1:63" ht="15.75" customHeight="1">
      <c r="A878" s="3"/>
      <c r="B878" s="3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6"/>
      <c r="AJ878" s="7"/>
      <c r="AK878" s="8"/>
      <c r="AL878" s="7"/>
      <c r="AM878" s="4"/>
      <c r="AN878" s="7"/>
      <c r="AO878" s="7"/>
      <c r="AP878" s="7"/>
      <c r="AQ878" s="4"/>
      <c r="AR878" s="7"/>
      <c r="AS878" s="4"/>
      <c r="AT878" s="7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</row>
    <row r="879" spans="1:63" ht="15.75" customHeight="1">
      <c r="A879" s="3"/>
      <c r="B879" s="3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6"/>
      <c r="AJ879" s="7"/>
      <c r="AK879" s="8"/>
      <c r="AL879" s="7"/>
      <c r="AM879" s="4"/>
      <c r="AN879" s="7"/>
      <c r="AO879" s="7"/>
      <c r="AP879" s="7"/>
      <c r="AQ879" s="4"/>
      <c r="AR879" s="7"/>
      <c r="AS879" s="4"/>
      <c r="AT879" s="7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</row>
    <row r="880" spans="1:63" ht="15.75" customHeight="1">
      <c r="A880" s="3"/>
      <c r="B880" s="3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6"/>
      <c r="AJ880" s="7"/>
      <c r="AK880" s="8"/>
      <c r="AL880" s="7"/>
      <c r="AM880" s="4"/>
      <c r="AN880" s="7"/>
      <c r="AO880" s="7"/>
      <c r="AP880" s="7"/>
      <c r="AQ880" s="4"/>
      <c r="AR880" s="7"/>
      <c r="AS880" s="4"/>
      <c r="AT880" s="7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</row>
    <row r="881" spans="1:63" ht="15.75" customHeight="1">
      <c r="A881" s="3"/>
      <c r="B881" s="3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6"/>
      <c r="AJ881" s="7"/>
      <c r="AK881" s="8"/>
      <c r="AL881" s="7"/>
      <c r="AM881" s="4"/>
      <c r="AN881" s="7"/>
      <c r="AO881" s="7"/>
      <c r="AP881" s="7"/>
      <c r="AQ881" s="4"/>
      <c r="AR881" s="7"/>
      <c r="AS881" s="4"/>
      <c r="AT881" s="7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</row>
    <row r="882" spans="1:63" ht="15.75" customHeight="1">
      <c r="A882" s="3"/>
      <c r="B882" s="3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6"/>
      <c r="AJ882" s="7"/>
      <c r="AK882" s="8"/>
      <c r="AL882" s="7"/>
      <c r="AM882" s="4"/>
      <c r="AN882" s="7"/>
      <c r="AO882" s="7"/>
      <c r="AP882" s="7"/>
      <c r="AQ882" s="4"/>
      <c r="AR882" s="7"/>
      <c r="AS882" s="4"/>
      <c r="AT882" s="7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</row>
    <row r="883" spans="1:63" ht="15.75" customHeight="1">
      <c r="A883" s="3"/>
      <c r="B883" s="3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6"/>
      <c r="AJ883" s="7"/>
      <c r="AK883" s="8"/>
      <c r="AL883" s="7"/>
      <c r="AM883" s="4"/>
      <c r="AN883" s="7"/>
      <c r="AO883" s="7"/>
      <c r="AP883" s="7"/>
      <c r="AQ883" s="4"/>
      <c r="AR883" s="7"/>
      <c r="AS883" s="4"/>
      <c r="AT883" s="7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</row>
    <row r="884" spans="1:63" ht="15.75" customHeight="1">
      <c r="A884" s="3"/>
      <c r="B884" s="3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6"/>
      <c r="AJ884" s="7"/>
      <c r="AK884" s="8"/>
      <c r="AL884" s="7"/>
      <c r="AM884" s="4"/>
      <c r="AN884" s="7"/>
      <c r="AO884" s="7"/>
      <c r="AP884" s="7"/>
      <c r="AQ884" s="4"/>
      <c r="AR884" s="7"/>
      <c r="AS884" s="4"/>
      <c r="AT884" s="7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</row>
    <row r="885" spans="1:63" ht="15.75" customHeight="1">
      <c r="A885" s="3"/>
      <c r="B885" s="3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6"/>
      <c r="AJ885" s="7"/>
      <c r="AK885" s="8"/>
      <c r="AL885" s="7"/>
      <c r="AM885" s="4"/>
      <c r="AN885" s="7"/>
      <c r="AO885" s="7"/>
      <c r="AP885" s="7"/>
      <c r="AQ885" s="4"/>
      <c r="AR885" s="7"/>
      <c r="AS885" s="4"/>
      <c r="AT885" s="7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</row>
    <row r="886" spans="1:63" ht="15.75" customHeight="1">
      <c r="A886" s="3"/>
      <c r="B886" s="3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6"/>
      <c r="AJ886" s="7"/>
      <c r="AK886" s="8"/>
      <c r="AL886" s="7"/>
      <c r="AM886" s="4"/>
      <c r="AN886" s="7"/>
      <c r="AO886" s="7"/>
      <c r="AP886" s="7"/>
      <c r="AQ886" s="4"/>
      <c r="AR886" s="7"/>
      <c r="AS886" s="4"/>
      <c r="AT886" s="7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</row>
    <row r="887" spans="1:63" ht="15.75" customHeight="1">
      <c r="A887" s="3"/>
      <c r="B887" s="3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6"/>
      <c r="AJ887" s="7"/>
      <c r="AK887" s="8"/>
      <c r="AL887" s="7"/>
      <c r="AM887" s="4"/>
      <c r="AN887" s="7"/>
      <c r="AO887" s="7"/>
      <c r="AP887" s="7"/>
      <c r="AQ887" s="4"/>
      <c r="AR887" s="7"/>
      <c r="AS887" s="4"/>
      <c r="AT887" s="7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</row>
    <row r="888" spans="1:63" ht="15.75" customHeight="1">
      <c r="A888" s="3"/>
      <c r="B888" s="3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6"/>
      <c r="AJ888" s="7"/>
      <c r="AK888" s="8"/>
      <c r="AL888" s="7"/>
      <c r="AM888" s="4"/>
      <c r="AN888" s="7"/>
      <c r="AO888" s="7"/>
      <c r="AP888" s="7"/>
      <c r="AQ888" s="4"/>
      <c r="AR888" s="7"/>
      <c r="AS888" s="4"/>
      <c r="AT888" s="7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</row>
    <row r="889" spans="1:63" ht="15.75" customHeight="1">
      <c r="A889" s="3"/>
      <c r="B889" s="3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6"/>
      <c r="AJ889" s="7"/>
      <c r="AK889" s="8"/>
      <c r="AL889" s="7"/>
      <c r="AM889" s="4"/>
      <c r="AN889" s="7"/>
      <c r="AO889" s="7"/>
      <c r="AP889" s="7"/>
      <c r="AQ889" s="4"/>
      <c r="AR889" s="7"/>
      <c r="AS889" s="4"/>
      <c r="AT889" s="7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</row>
    <row r="890" spans="1:63" ht="15.75" customHeight="1">
      <c r="A890" s="3"/>
      <c r="B890" s="3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6"/>
      <c r="AJ890" s="7"/>
      <c r="AK890" s="8"/>
      <c r="AL890" s="7"/>
      <c r="AM890" s="4"/>
      <c r="AN890" s="7"/>
      <c r="AO890" s="7"/>
      <c r="AP890" s="7"/>
      <c r="AQ890" s="4"/>
      <c r="AR890" s="7"/>
      <c r="AS890" s="4"/>
      <c r="AT890" s="7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</row>
    <row r="891" spans="1:63" ht="15.75" customHeight="1">
      <c r="A891" s="3"/>
      <c r="B891" s="3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6"/>
      <c r="AJ891" s="7"/>
      <c r="AK891" s="8"/>
      <c r="AL891" s="7"/>
      <c r="AM891" s="4"/>
      <c r="AN891" s="7"/>
      <c r="AO891" s="7"/>
      <c r="AP891" s="7"/>
      <c r="AQ891" s="4"/>
      <c r="AR891" s="7"/>
      <c r="AS891" s="4"/>
      <c r="AT891" s="7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</row>
    <row r="892" spans="1:63" ht="15.75" customHeight="1">
      <c r="A892" s="3"/>
      <c r="B892" s="3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6"/>
      <c r="AJ892" s="7"/>
      <c r="AK892" s="8"/>
      <c r="AL892" s="7"/>
      <c r="AM892" s="4"/>
      <c r="AN892" s="7"/>
      <c r="AO892" s="7"/>
      <c r="AP892" s="7"/>
      <c r="AQ892" s="4"/>
      <c r="AR892" s="7"/>
      <c r="AS892" s="4"/>
      <c r="AT892" s="7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</row>
    <row r="893" spans="1:63" ht="15.75" customHeight="1">
      <c r="A893" s="3"/>
      <c r="B893" s="3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6"/>
      <c r="AJ893" s="7"/>
      <c r="AK893" s="8"/>
      <c r="AL893" s="7"/>
      <c r="AM893" s="4"/>
      <c r="AN893" s="7"/>
      <c r="AO893" s="7"/>
      <c r="AP893" s="7"/>
      <c r="AQ893" s="4"/>
      <c r="AR893" s="7"/>
      <c r="AS893" s="4"/>
      <c r="AT893" s="7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</row>
    <row r="894" spans="1:63" ht="15.75" customHeight="1">
      <c r="A894" s="3"/>
      <c r="B894" s="3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6"/>
      <c r="AJ894" s="7"/>
      <c r="AK894" s="8"/>
      <c r="AL894" s="7"/>
      <c r="AM894" s="4"/>
      <c r="AN894" s="7"/>
      <c r="AO894" s="7"/>
      <c r="AP894" s="7"/>
      <c r="AQ894" s="4"/>
      <c r="AR894" s="7"/>
      <c r="AS894" s="4"/>
      <c r="AT894" s="7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</row>
    <row r="895" spans="1:63" ht="15.75" customHeight="1">
      <c r="A895" s="3"/>
      <c r="B895" s="3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6"/>
      <c r="AJ895" s="7"/>
      <c r="AK895" s="8"/>
      <c r="AL895" s="7"/>
      <c r="AM895" s="4"/>
      <c r="AN895" s="7"/>
      <c r="AO895" s="7"/>
      <c r="AP895" s="7"/>
      <c r="AQ895" s="4"/>
      <c r="AR895" s="7"/>
      <c r="AS895" s="4"/>
      <c r="AT895" s="7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</row>
    <row r="896" spans="1:63" ht="15.75" customHeight="1">
      <c r="A896" s="3"/>
      <c r="B896" s="3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6"/>
      <c r="AJ896" s="7"/>
      <c r="AK896" s="8"/>
      <c r="AL896" s="7"/>
      <c r="AM896" s="4"/>
      <c r="AN896" s="7"/>
      <c r="AO896" s="7"/>
      <c r="AP896" s="7"/>
      <c r="AQ896" s="4"/>
      <c r="AR896" s="7"/>
      <c r="AS896" s="4"/>
      <c r="AT896" s="7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</row>
    <row r="897" spans="1:63" ht="15.75" customHeight="1">
      <c r="A897" s="3"/>
      <c r="B897" s="3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6"/>
      <c r="AJ897" s="7"/>
      <c r="AK897" s="8"/>
      <c r="AL897" s="7"/>
      <c r="AM897" s="4"/>
      <c r="AN897" s="7"/>
      <c r="AO897" s="7"/>
      <c r="AP897" s="7"/>
      <c r="AQ897" s="4"/>
      <c r="AR897" s="7"/>
      <c r="AS897" s="4"/>
      <c r="AT897" s="7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</row>
    <row r="898" spans="1:63" ht="15.75" customHeight="1">
      <c r="A898" s="3"/>
      <c r="B898" s="3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6"/>
      <c r="AJ898" s="7"/>
      <c r="AK898" s="8"/>
      <c r="AL898" s="7"/>
      <c r="AM898" s="4"/>
      <c r="AN898" s="7"/>
      <c r="AO898" s="7"/>
      <c r="AP898" s="7"/>
      <c r="AQ898" s="4"/>
      <c r="AR898" s="7"/>
      <c r="AS898" s="4"/>
      <c r="AT898" s="7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</row>
    <row r="899" spans="1:63" ht="15.75" customHeight="1">
      <c r="A899" s="3"/>
      <c r="B899" s="3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6"/>
      <c r="AJ899" s="7"/>
      <c r="AK899" s="8"/>
      <c r="AL899" s="7"/>
      <c r="AM899" s="4"/>
      <c r="AN899" s="7"/>
      <c r="AO899" s="7"/>
      <c r="AP899" s="7"/>
      <c r="AQ899" s="4"/>
      <c r="AR899" s="7"/>
      <c r="AS899" s="4"/>
      <c r="AT899" s="7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</row>
    <row r="900" spans="1:63" ht="15.75" customHeight="1">
      <c r="A900" s="3"/>
      <c r="B900" s="3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6"/>
      <c r="AJ900" s="7"/>
      <c r="AK900" s="8"/>
      <c r="AL900" s="7"/>
      <c r="AM900" s="4"/>
      <c r="AN900" s="7"/>
      <c r="AO900" s="7"/>
      <c r="AP900" s="7"/>
      <c r="AQ900" s="4"/>
      <c r="AR900" s="7"/>
      <c r="AS900" s="4"/>
      <c r="AT900" s="7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</row>
    <row r="901" spans="1:63" ht="15.75" customHeight="1">
      <c r="A901" s="3"/>
      <c r="B901" s="3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6"/>
      <c r="AJ901" s="7"/>
      <c r="AK901" s="8"/>
      <c r="AL901" s="7"/>
      <c r="AM901" s="4"/>
      <c r="AN901" s="7"/>
      <c r="AO901" s="7"/>
      <c r="AP901" s="7"/>
      <c r="AQ901" s="4"/>
      <c r="AR901" s="7"/>
      <c r="AS901" s="4"/>
      <c r="AT901" s="7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</row>
    <row r="902" spans="1:63" ht="15.75" customHeight="1">
      <c r="A902" s="3"/>
      <c r="B902" s="3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6"/>
      <c r="AJ902" s="7"/>
      <c r="AK902" s="8"/>
      <c r="AL902" s="7"/>
      <c r="AM902" s="4"/>
      <c r="AN902" s="7"/>
      <c r="AO902" s="7"/>
      <c r="AP902" s="7"/>
      <c r="AQ902" s="4"/>
      <c r="AR902" s="7"/>
      <c r="AS902" s="4"/>
      <c r="AT902" s="7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</row>
    <row r="903" spans="1:63" ht="15.75" customHeight="1">
      <c r="A903" s="3"/>
      <c r="B903" s="3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6"/>
      <c r="AJ903" s="7"/>
      <c r="AK903" s="8"/>
      <c r="AL903" s="7"/>
      <c r="AM903" s="4"/>
      <c r="AN903" s="7"/>
      <c r="AO903" s="7"/>
      <c r="AP903" s="7"/>
      <c r="AQ903" s="4"/>
      <c r="AR903" s="7"/>
      <c r="AS903" s="4"/>
      <c r="AT903" s="7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</row>
    <row r="904" spans="1:63" ht="15.75" customHeight="1">
      <c r="A904" s="3"/>
      <c r="B904" s="3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6"/>
      <c r="AJ904" s="7"/>
      <c r="AK904" s="8"/>
      <c r="AL904" s="7"/>
      <c r="AM904" s="4"/>
      <c r="AN904" s="7"/>
      <c r="AO904" s="7"/>
      <c r="AP904" s="7"/>
      <c r="AQ904" s="4"/>
      <c r="AR904" s="7"/>
      <c r="AS904" s="4"/>
      <c r="AT904" s="7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</row>
    <row r="905" spans="1:63" ht="15.75" customHeight="1">
      <c r="A905" s="3"/>
      <c r="B905" s="3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6"/>
      <c r="AJ905" s="7"/>
      <c r="AK905" s="8"/>
      <c r="AL905" s="7"/>
      <c r="AM905" s="4"/>
      <c r="AN905" s="7"/>
      <c r="AO905" s="7"/>
      <c r="AP905" s="7"/>
      <c r="AQ905" s="4"/>
      <c r="AR905" s="7"/>
      <c r="AS905" s="4"/>
      <c r="AT905" s="7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</row>
    <row r="906" spans="1:63" ht="15.75" customHeight="1">
      <c r="A906" s="3"/>
      <c r="B906" s="3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6"/>
      <c r="AJ906" s="7"/>
      <c r="AK906" s="8"/>
      <c r="AL906" s="7"/>
      <c r="AM906" s="4"/>
      <c r="AN906" s="7"/>
      <c r="AO906" s="7"/>
      <c r="AP906" s="7"/>
      <c r="AQ906" s="4"/>
      <c r="AR906" s="7"/>
      <c r="AS906" s="4"/>
      <c r="AT906" s="7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</row>
    <row r="907" spans="1:63" ht="15.75" customHeight="1">
      <c r="A907" s="3"/>
      <c r="B907" s="3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6"/>
      <c r="AJ907" s="7"/>
      <c r="AK907" s="8"/>
      <c r="AL907" s="7"/>
      <c r="AM907" s="4"/>
      <c r="AN907" s="7"/>
      <c r="AO907" s="7"/>
      <c r="AP907" s="7"/>
      <c r="AQ907" s="4"/>
      <c r="AR907" s="7"/>
      <c r="AS907" s="4"/>
      <c r="AT907" s="7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</row>
    <row r="908" spans="1:63" ht="15.75" customHeight="1">
      <c r="A908" s="3"/>
      <c r="B908" s="3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6"/>
      <c r="AJ908" s="7"/>
      <c r="AK908" s="8"/>
      <c r="AL908" s="7"/>
      <c r="AM908" s="4"/>
      <c r="AN908" s="7"/>
      <c r="AO908" s="7"/>
      <c r="AP908" s="7"/>
      <c r="AQ908" s="4"/>
      <c r="AR908" s="7"/>
      <c r="AS908" s="4"/>
      <c r="AT908" s="7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</row>
    <row r="909" spans="1:63" ht="15.75" customHeight="1">
      <c r="A909" s="3"/>
      <c r="B909" s="3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6"/>
      <c r="AJ909" s="7"/>
      <c r="AK909" s="8"/>
      <c r="AL909" s="7"/>
      <c r="AM909" s="4"/>
      <c r="AN909" s="7"/>
      <c r="AO909" s="7"/>
      <c r="AP909" s="7"/>
      <c r="AQ909" s="4"/>
      <c r="AR909" s="7"/>
      <c r="AS909" s="4"/>
      <c r="AT909" s="7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</row>
    <row r="910" spans="1:63" ht="15.75" customHeight="1">
      <c r="A910" s="3"/>
      <c r="B910" s="3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6"/>
      <c r="AJ910" s="7"/>
      <c r="AK910" s="8"/>
      <c r="AL910" s="7"/>
      <c r="AM910" s="4"/>
      <c r="AN910" s="7"/>
      <c r="AO910" s="7"/>
      <c r="AP910" s="7"/>
      <c r="AQ910" s="4"/>
      <c r="AR910" s="7"/>
      <c r="AS910" s="4"/>
      <c r="AT910" s="7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</row>
    <row r="911" spans="1:63" ht="15.75" customHeight="1">
      <c r="A911" s="3"/>
      <c r="B911" s="3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6"/>
      <c r="AJ911" s="7"/>
      <c r="AK911" s="8"/>
      <c r="AL911" s="7"/>
      <c r="AM911" s="4"/>
      <c r="AN911" s="7"/>
      <c r="AO911" s="7"/>
      <c r="AP911" s="7"/>
      <c r="AQ911" s="4"/>
      <c r="AR911" s="7"/>
      <c r="AS911" s="4"/>
      <c r="AT911" s="7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</row>
    <row r="912" spans="1:63" ht="15.75" customHeight="1">
      <c r="A912" s="3"/>
      <c r="B912" s="3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6"/>
      <c r="AJ912" s="7"/>
      <c r="AK912" s="8"/>
      <c r="AL912" s="7"/>
      <c r="AM912" s="4"/>
      <c r="AN912" s="7"/>
      <c r="AO912" s="7"/>
      <c r="AP912" s="7"/>
      <c r="AQ912" s="4"/>
      <c r="AR912" s="7"/>
      <c r="AS912" s="4"/>
      <c r="AT912" s="7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</row>
    <row r="913" spans="1:63" ht="15.75" customHeight="1">
      <c r="A913" s="3"/>
      <c r="B913" s="3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6"/>
      <c r="AJ913" s="7"/>
      <c r="AK913" s="8"/>
      <c r="AL913" s="7"/>
      <c r="AM913" s="4"/>
      <c r="AN913" s="7"/>
      <c r="AO913" s="7"/>
      <c r="AP913" s="7"/>
      <c r="AQ913" s="4"/>
      <c r="AR913" s="7"/>
      <c r="AS913" s="4"/>
      <c r="AT913" s="7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</row>
    <row r="914" spans="1:63" ht="15.75" customHeight="1">
      <c r="A914" s="3"/>
      <c r="B914" s="3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6"/>
      <c r="AJ914" s="7"/>
      <c r="AK914" s="8"/>
      <c r="AL914" s="7"/>
      <c r="AM914" s="4"/>
      <c r="AN914" s="7"/>
      <c r="AO914" s="7"/>
      <c r="AP914" s="7"/>
      <c r="AQ914" s="4"/>
      <c r="AR914" s="7"/>
      <c r="AS914" s="4"/>
      <c r="AT914" s="7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</row>
    <row r="915" spans="1:63" ht="15.75" customHeight="1">
      <c r="A915" s="3"/>
      <c r="B915" s="3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6"/>
      <c r="AJ915" s="7"/>
      <c r="AK915" s="8"/>
      <c r="AL915" s="7"/>
      <c r="AM915" s="4"/>
      <c r="AN915" s="7"/>
      <c r="AO915" s="7"/>
      <c r="AP915" s="7"/>
      <c r="AQ915" s="4"/>
      <c r="AR915" s="7"/>
      <c r="AS915" s="4"/>
      <c r="AT915" s="7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</row>
    <row r="916" spans="1:63" ht="15.75" customHeight="1">
      <c r="A916" s="3"/>
      <c r="B916" s="3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6"/>
      <c r="AJ916" s="7"/>
      <c r="AK916" s="8"/>
      <c r="AL916" s="7"/>
      <c r="AM916" s="4"/>
      <c r="AN916" s="7"/>
      <c r="AO916" s="7"/>
      <c r="AP916" s="7"/>
      <c r="AQ916" s="4"/>
      <c r="AR916" s="7"/>
      <c r="AS916" s="4"/>
      <c r="AT916" s="7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</row>
    <row r="917" spans="1:63" ht="15.75" customHeight="1">
      <c r="A917" s="3"/>
      <c r="B917" s="3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6"/>
      <c r="AJ917" s="7"/>
      <c r="AK917" s="8"/>
      <c r="AL917" s="7"/>
      <c r="AM917" s="4"/>
      <c r="AN917" s="7"/>
      <c r="AO917" s="7"/>
      <c r="AP917" s="7"/>
      <c r="AQ917" s="4"/>
      <c r="AR917" s="7"/>
      <c r="AS917" s="4"/>
      <c r="AT917" s="7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</row>
    <row r="918" spans="1:63" ht="15.75" customHeight="1">
      <c r="A918" s="3"/>
      <c r="B918" s="3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6"/>
      <c r="AJ918" s="7"/>
      <c r="AK918" s="8"/>
      <c r="AL918" s="7"/>
      <c r="AM918" s="4"/>
      <c r="AN918" s="7"/>
      <c r="AO918" s="7"/>
      <c r="AP918" s="7"/>
      <c r="AQ918" s="4"/>
      <c r="AR918" s="7"/>
      <c r="AS918" s="4"/>
      <c r="AT918" s="7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</row>
    <row r="919" spans="1:63" ht="15.75" customHeight="1">
      <c r="A919" s="3"/>
      <c r="B919" s="3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6"/>
      <c r="AJ919" s="7"/>
      <c r="AK919" s="8"/>
      <c r="AL919" s="7"/>
      <c r="AM919" s="4"/>
      <c r="AN919" s="7"/>
      <c r="AO919" s="7"/>
      <c r="AP919" s="7"/>
      <c r="AQ919" s="4"/>
      <c r="AR919" s="7"/>
      <c r="AS919" s="4"/>
      <c r="AT919" s="7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</row>
    <row r="920" spans="1:63" ht="15.75" customHeight="1">
      <c r="A920" s="3"/>
      <c r="B920" s="3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6"/>
      <c r="AJ920" s="7"/>
      <c r="AK920" s="8"/>
      <c r="AL920" s="7"/>
      <c r="AM920" s="4"/>
      <c r="AN920" s="7"/>
      <c r="AO920" s="7"/>
      <c r="AP920" s="7"/>
      <c r="AQ920" s="4"/>
      <c r="AR920" s="7"/>
      <c r="AS920" s="4"/>
      <c r="AT920" s="7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</row>
    <row r="921" spans="1:63" ht="15.75" customHeight="1">
      <c r="A921" s="3"/>
      <c r="B921" s="3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6"/>
      <c r="AJ921" s="7"/>
      <c r="AK921" s="8"/>
      <c r="AL921" s="7"/>
      <c r="AM921" s="4"/>
      <c r="AN921" s="7"/>
      <c r="AO921" s="7"/>
      <c r="AP921" s="7"/>
      <c r="AQ921" s="4"/>
      <c r="AR921" s="7"/>
      <c r="AS921" s="4"/>
      <c r="AT921" s="7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</row>
    <row r="922" spans="1:63" ht="15.75" customHeight="1">
      <c r="A922" s="3"/>
      <c r="B922" s="3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6"/>
      <c r="AJ922" s="7"/>
      <c r="AK922" s="8"/>
      <c r="AL922" s="7"/>
      <c r="AM922" s="4"/>
      <c r="AN922" s="7"/>
      <c r="AO922" s="7"/>
      <c r="AP922" s="7"/>
      <c r="AQ922" s="4"/>
      <c r="AR922" s="7"/>
      <c r="AS922" s="4"/>
      <c r="AT922" s="7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</row>
    <row r="923" spans="1:63" ht="15.75" customHeight="1">
      <c r="A923" s="3"/>
      <c r="B923" s="3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6"/>
      <c r="AJ923" s="7"/>
      <c r="AK923" s="8"/>
      <c r="AL923" s="7"/>
      <c r="AM923" s="4"/>
      <c r="AN923" s="7"/>
      <c r="AO923" s="7"/>
      <c r="AP923" s="7"/>
      <c r="AQ923" s="4"/>
      <c r="AR923" s="7"/>
      <c r="AS923" s="4"/>
      <c r="AT923" s="7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</row>
    <row r="924" spans="1:63" ht="15.75" customHeight="1">
      <c r="A924" s="3"/>
      <c r="B924" s="3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6"/>
      <c r="AJ924" s="7"/>
      <c r="AK924" s="8"/>
      <c r="AL924" s="7"/>
      <c r="AM924" s="4"/>
      <c r="AN924" s="7"/>
      <c r="AO924" s="7"/>
      <c r="AP924" s="7"/>
      <c r="AQ924" s="4"/>
      <c r="AR924" s="7"/>
      <c r="AS924" s="4"/>
      <c r="AT924" s="7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</row>
    <row r="925" spans="1:63" ht="15.75" customHeight="1">
      <c r="A925" s="3"/>
      <c r="B925" s="3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6"/>
      <c r="AJ925" s="7"/>
      <c r="AK925" s="8"/>
      <c r="AL925" s="7"/>
      <c r="AM925" s="4"/>
      <c r="AN925" s="7"/>
      <c r="AO925" s="7"/>
      <c r="AP925" s="7"/>
      <c r="AQ925" s="4"/>
      <c r="AR925" s="7"/>
      <c r="AS925" s="4"/>
      <c r="AT925" s="7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</row>
    <row r="926" spans="1:63" ht="15.75" customHeight="1">
      <c r="A926" s="3"/>
      <c r="B926" s="3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6"/>
      <c r="AJ926" s="7"/>
      <c r="AK926" s="8"/>
      <c r="AL926" s="7"/>
      <c r="AM926" s="4"/>
      <c r="AN926" s="7"/>
      <c r="AO926" s="7"/>
      <c r="AP926" s="7"/>
      <c r="AQ926" s="4"/>
      <c r="AR926" s="7"/>
      <c r="AS926" s="4"/>
      <c r="AT926" s="7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</row>
    <row r="927" spans="1:63" ht="15.75" customHeight="1">
      <c r="A927" s="3"/>
      <c r="B927" s="3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6"/>
      <c r="AJ927" s="7"/>
      <c r="AK927" s="8"/>
      <c r="AL927" s="7"/>
      <c r="AM927" s="4"/>
      <c r="AN927" s="7"/>
      <c r="AO927" s="7"/>
      <c r="AP927" s="7"/>
      <c r="AQ927" s="4"/>
      <c r="AR927" s="7"/>
      <c r="AS927" s="4"/>
      <c r="AT927" s="7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</row>
    <row r="928" spans="1:63" ht="15.75" customHeight="1">
      <c r="A928" s="3"/>
      <c r="B928" s="3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6"/>
      <c r="AJ928" s="7"/>
      <c r="AK928" s="8"/>
      <c r="AL928" s="7"/>
      <c r="AM928" s="4"/>
      <c r="AN928" s="7"/>
      <c r="AO928" s="7"/>
      <c r="AP928" s="7"/>
      <c r="AQ928" s="4"/>
      <c r="AR928" s="7"/>
      <c r="AS928" s="4"/>
      <c r="AT928" s="7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</row>
    <row r="929" spans="1:63" ht="15.75" customHeight="1">
      <c r="A929" s="3"/>
      <c r="B929" s="3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6"/>
      <c r="AJ929" s="7"/>
      <c r="AK929" s="8"/>
      <c r="AL929" s="7"/>
      <c r="AM929" s="4"/>
      <c r="AN929" s="7"/>
      <c r="AO929" s="7"/>
      <c r="AP929" s="7"/>
      <c r="AQ929" s="4"/>
      <c r="AR929" s="7"/>
      <c r="AS929" s="4"/>
      <c r="AT929" s="7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</row>
    <row r="930" spans="1:63" ht="15.75" customHeight="1">
      <c r="A930" s="3"/>
      <c r="B930" s="3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6"/>
      <c r="AJ930" s="7"/>
      <c r="AK930" s="8"/>
      <c r="AL930" s="7"/>
      <c r="AM930" s="4"/>
      <c r="AN930" s="7"/>
      <c r="AO930" s="7"/>
      <c r="AP930" s="7"/>
      <c r="AQ930" s="4"/>
      <c r="AR930" s="7"/>
      <c r="AS930" s="4"/>
      <c r="AT930" s="7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</row>
    <row r="931" spans="1:63" ht="15.75" customHeight="1">
      <c r="A931" s="3"/>
      <c r="B931" s="3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6"/>
      <c r="AJ931" s="7"/>
      <c r="AK931" s="8"/>
      <c r="AL931" s="7"/>
      <c r="AM931" s="4"/>
      <c r="AN931" s="7"/>
      <c r="AO931" s="7"/>
      <c r="AP931" s="7"/>
      <c r="AQ931" s="4"/>
      <c r="AR931" s="7"/>
      <c r="AS931" s="4"/>
      <c r="AT931" s="7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</row>
    <row r="932" spans="1:63" ht="15.75" customHeight="1">
      <c r="A932" s="3"/>
      <c r="B932" s="3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6"/>
      <c r="AJ932" s="7"/>
      <c r="AK932" s="8"/>
      <c r="AL932" s="7"/>
      <c r="AM932" s="4"/>
      <c r="AN932" s="7"/>
      <c r="AO932" s="7"/>
      <c r="AP932" s="7"/>
      <c r="AQ932" s="4"/>
      <c r="AR932" s="7"/>
      <c r="AS932" s="4"/>
      <c r="AT932" s="7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</row>
    <row r="933" spans="1:63" ht="15.75" customHeight="1">
      <c r="A933" s="3"/>
      <c r="B933" s="3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6"/>
      <c r="AJ933" s="7"/>
      <c r="AK933" s="8"/>
      <c r="AL933" s="7"/>
      <c r="AM933" s="4"/>
      <c r="AN933" s="7"/>
      <c r="AO933" s="7"/>
      <c r="AP933" s="7"/>
      <c r="AQ933" s="4"/>
      <c r="AR933" s="7"/>
      <c r="AS933" s="4"/>
      <c r="AT933" s="7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</row>
    <row r="934" spans="1:63" ht="15.75" customHeight="1">
      <c r="A934" s="3"/>
      <c r="B934" s="3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6"/>
      <c r="AJ934" s="7"/>
      <c r="AK934" s="8"/>
      <c r="AL934" s="7"/>
      <c r="AM934" s="4"/>
      <c r="AN934" s="7"/>
      <c r="AO934" s="7"/>
      <c r="AP934" s="7"/>
      <c r="AQ934" s="4"/>
      <c r="AR934" s="7"/>
      <c r="AS934" s="4"/>
      <c r="AT934" s="7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</row>
    <row r="935" spans="1:63" ht="15.75" customHeight="1">
      <c r="A935" s="3"/>
      <c r="B935" s="3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6"/>
      <c r="AJ935" s="7"/>
      <c r="AK935" s="8"/>
      <c r="AL935" s="7"/>
      <c r="AM935" s="4"/>
      <c r="AN935" s="7"/>
      <c r="AO935" s="7"/>
      <c r="AP935" s="7"/>
      <c r="AQ935" s="4"/>
      <c r="AR935" s="7"/>
      <c r="AS935" s="4"/>
      <c r="AT935" s="7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</row>
    <row r="936" spans="1:63" ht="15.75" customHeight="1">
      <c r="A936" s="3"/>
      <c r="B936" s="3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6"/>
      <c r="AJ936" s="7"/>
      <c r="AK936" s="8"/>
      <c r="AL936" s="7"/>
      <c r="AM936" s="4"/>
      <c r="AN936" s="7"/>
      <c r="AO936" s="7"/>
      <c r="AP936" s="7"/>
      <c r="AQ936" s="4"/>
      <c r="AR936" s="7"/>
      <c r="AS936" s="4"/>
      <c r="AT936" s="7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</row>
    <row r="937" spans="1:63" ht="15.75" customHeight="1">
      <c r="A937" s="3"/>
      <c r="B937" s="3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6"/>
      <c r="AJ937" s="7"/>
      <c r="AK937" s="8"/>
      <c r="AL937" s="7"/>
      <c r="AM937" s="4"/>
      <c r="AN937" s="7"/>
      <c r="AO937" s="7"/>
      <c r="AP937" s="7"/>
      <c r="AQ937" s="4"/>
      <c r="AR937" s="7"/>
      <c r="AS937" s="4"/>
      <c r="AT937" s="7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</row>
    <row r="938" spans="1:63" ht="15.75" customHeight="1">
      <c r="A938" s="3"/>
      <c r="B938" s="3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6"/>
      <c r="AJ938" s="7"/>
      <c r="AK938" s="8"/>
      <c r="AL938" s="7"/>
      <c r="AM938" s="4"/>
      <c r="AN938" s="7"/>
      <c r="AO938" s="7"/>
      <c r="AP938" s="7"/>
      <c r="AQ938" s="4"/>
      <c r="AR938" s="7"/>
      <c r="AS938" s="4"/>
      <c r="AT938" s="7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</row>
    <row r="939" spans="1:63" ht="15.75" customHeight="1">
      <c r="A939" s="3"/>
      <c r="B939" s="3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6"/>
      <c r="AJ939" s="7"/>
      <c r="AK939" s="8"/>
      <c r="AL939" s="7"/>
      <c r="AM939" s="4"/>
      <c r="AN939" s="7"/>
      <c r="AO939" s="7"/>
      <c r="AP939" s="7"/>
      <c r="AQ939" s="4"/>
      <c r="AR939" s="7"/>
      <c r="AS939" s="4"/>
      <c r="AT939" s="7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</row>
    <row r="940" spans="1:63" ht="15.75" customHeight="1">
      <c r="A940" s="3"/>
      <c r="B940" s="3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6"/>
      <c r="AJ940" s="7"/>
      <c r="AK940" s="8"/>
      <c r="AL940" s="7"/>
      <c r="AM940" s="4"/>
      <c r="AN940" s="7"/>
      <c r="AO940" s="7"/>
      <c r="AP940" s="7"/>
      <c r="AQ940" s="4"/>
      <c r="AR940" s="7"/>
      <c r="AS940" s="4"/>
      <c r="AT940" s="7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</row>
    <row r="941" spans="1:63" ht="15.75" customHeight="1">
      <c r="A941" s="3"/>
      <c r="B941" s="3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6"/>
      <c r="AJ941" s="7"/>
      <c r="AK941" s="8"/>
      <c r="AL941" s="7"/>
      <c r="AM941" s="4"/>
      <c r="AN941" s="7"/>
      <c r="AO941" s="7"/>
      <c r="AP941" s="7"/>
      <c r="AQ941" s="4"/>
      <c r="AR941" s="7"/>
      <c r="AS941" s="4"/>
      <c r="AT941" s="7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</row>
    <row r="942" spans="1:63" ht="15.75" customHeight="1">
      <c r="A942" s="3"/>
      <c r="B942" s="3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6"/>
      <c r="AJ942" s="7"/>
      <c r="AK942" s="8"/>
      <c r="AL942" s="7"/>
      <c r="AM942" s="4"/>
      <c r="AN942" s="7"/>
      <c r="AO942" s="7"/>
      <c r="AP942" s="7"/>
      <c r="AQ942" s="4"/>
      <c r="AR942" s="7"/>
      <c r="AS942" s="4"/>
      <c r="AT942" s="7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</row>
    <row r="943" spans="1:63" ht="15.75" customHeight="1">
      <c r="A943" s="3"/>
      <c r="B943" s="3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6"/>
      <c r="AJ943" s="7"/>
      <c r="AK943" s="8"/>
      <c r="AL943" s="7"/>
      <c r="AM943" s="4"/>
      <c r="AN943" s="7"/>
      <c r="AO943" s="7"/>
      <c r="AP943" s="7"/>
      <c r="AQ943" s="4"/>
      <c r="AR943" s="7"/>
      <c r="AS943" s="4"/>
      <c r="AT943" s="7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</row>
    <row r="944" spans="1:63" ht="15.75" customHeight="1">
      <c r="A944" s="3"/>
      <c r="B944" s="3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6"/>
      <c r="AJ944" s="7"/>
      <c r="AK944" s="8"/>
      <c r="AL944" s="7"/>
      <c r="AM944" s="4"/>
      <c r="AN944" s="7"/>
      <c r="AO944" s="7"/>
      <c r="AP944" s="7"/>
      <c r="AQ944" s="4"/>
      <c r="AR944" s="7"/>
      <c r="AS944" s="4"/>
      <c r="AT944" s="7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</row>
    <row r="945" spans="1:63" ht="15.75" customHeight="1">
      <c r="A945" s="3"/>
      <c r="B945" s="3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6"/>
      <c r="AJ945" s="7"/>
      <c r="AK945" s="8"/>
      <c r="AL945" s="7"/>
      <c r="AM945" s="4"/>
      <c r="AN945" s="7"/>
      <c r="AO945" s="7"/>
      <c r="AP945" s="7"/>
      <c r="AQ945" s="4"/>
      <c r="AR945" s="7"/>
      <c r="AS945" s="4"/>
      <c r="AT945" s="7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</row>
    <row r="946" spans="1:63" ht="15.75" customHeight="1">
      <c r="A946" s="3"/>
      <c r="B946" s="3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6"/>
      <c r="AJ946" s="7"/>
      <c r="AK946" s="8"/>
      <c r="AL946" s="7"/>
      <c r="AM946" s="4"/>
      <c r="AN946" s="7"/>
      <c r="AO946" s="7"/>
      <c r="AP946" s="7"/>
      <c r="AQ946" s="4"/>
      <c r="AR946" s="7"/>
      <c r="AS946" s="4"/>
      <c r="AT946" s="7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</row>
    <row r="947" spans="1:63" ht="15.75" customHeight="1">
      <c r="A947" s="3"/>
      <c r="B947" s="3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6"/>
      <c r="AJ947" s="7"/>
      <c r="AK947" s="8"/>
      <c r="AL947" s="7"/>
      <c r="AM947" s="4"/>
      <c r="AN947" s="7"/>
      <c r="AO947" s="7"/>
      <c r="AP947" s="7"/>
      <c r="AQ947" s="4"/>
      <c r="AR947" s="7"/>
      <c r="AS947" s="4"/>
      <c r="AT947" s="7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</row>
    <row r="948" spans="1:63" ht="15.75" customHeight="1">
      <c r="A948" s="3"/>
      <c r="B948" s="3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6"/>
      <c r="AJ948" s="7"/>
      <c r="AK948" s="8"/>
      <c r="AL948" s="7"/>
      <c r="AM948" s="4"/>
      <c r="AN948" s="7"/>
      <c r="AO948" s="7"/>
      <c r="AP948" s="7"/>
      <c r="AQ948" s="4"/>
      <c r="AR948" s="7"/>
      <c r="AS948" s="4"/>
      <c r="AT948" s="7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</row>
    <row r="949" spans="1:63" ht="15.75" customHeight="1">
      <c r="A949" s="3"/>
      <c r="B949" s="3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6"/>
      <c r="AJ949" s="7"/>
      <c r="AK949" s="8"/>
      <c r="AL949" s="7"/>
      <c r="AM949" s="4"/>
      <c r="AN949" s="7"/>
      <c r="AO949" s="7"/>
      <c r="AP949" s="7"/>
      <c r="AQ949" s="4"/>
      <c r="AR949" s="7"/>
      <c r="AS949" s="4"/>
      <c r="AT949" s="7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</row>
    <row r="950" spans="1:63" ht="15.75" customHeight="1">
      <c r="A950" s="3"/>
      <c r="B950" s="3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6"/>
      <c r="AJ950" s="7"/>
      <c r="AK950" s="8"/>
      <c r="AL950" s="7"/>
      <c r="AM950" s="4"/>
      <c r="AN950" s="7"/>
      <c r="AO950" s="7"/>
      <c r="AP950" s="7"/>
      <c r="AQ950" s="4"/>
      <c r="AR950" s="7"/>
      <c r="AS950" s="4"/>
      <c r="AT950" s="7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</row>
    <row r="951" spans="1:63" ht="15.75" customHeight="1">
      <c r="A951" s="3"/>
      <c r="B951" s="3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6"/>
      <c r="AJ951" s="7"/>
      <c r="AK951" s="8"/>
      <c r="AL951" s="7"/>
      <c r="AM951" s="4"/>
      <c r="AN951" s="7"/>
      <c r="AO951" s="7"/>
      <c r="AP951" s="7"/>
      <c r="AQ951" s="4"/>
      <c r="AR951" s="7"/>
      <c r="AS951" s="4"/>
      <c r="AT951" s="7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</row>
    <row r="952" spans="1:63" ht="15.75" customHeight="1">
      <c r="A952" s="3"/>
      <c r="B952" s="3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6"/>
      <c r="AJ952" s="7"/>
      <c r="AK952" s="8"/>
      <c r="AL952" s="7"/>
      <c r="AM952" s="4"/>
      <c r="AN952" s="7"/>
      <c r="AO952" s="7"/>
      <c r="AP952" s="7"/>
      <c r="AQ952" s="4"/>
      <c r="AR952" s="7"/>
      <c r="AS952" s="4"/>
      <c r="AT952" s="7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</row>
    <row r="953" spans="1:63" ht="15.75" customHeight="1">
      <c r="A953" s="3"/>
      <c r="B953" s="3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6"/>
      <c r="AJ953" s="7"/>
      <c r="AK953" s="8"/>
      <c r="AL953" s="7"/>
      <c r="AM953" s="4"/>
      <c r="AN953" s="7"/>
      <c r="AO953" s="7"/>
      <c r="AP953" s="7"/>
      <c r="AQ953" s="4"/>
      <c r="AR953" s="7"/>
      <c r="AS953" s="4"/>
      <c r="AT953" s="7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</row>
    <row r="954" spans="1:63" ht="15.75" customHeight="1">
      <c r="A954" s="3"/>
      <c r="B954" s="3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6"/>
      <c r="AJ954" s="7"/>
      <c r="AK954" s="8"/>
      <c r="AL954" s="7"/>
      <c r="AM954" s="4"/>
      <c r="AN954" s="7"/>
      <c r="AO954" s="7"/>
      <c r="AP954" s="7"/>
      <c r="AQ954" s="4"/>
      <c r="AR954" s="7"/>
      <c r="AS954" s="4"/>
      <c r="AT954" s="7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</row>
    <row r="955" spans="1:63" ht="15.75" customHeight="1">
      <c r="A955" s="3"/>
      <c r="B955" s="3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6"/>
      <c r="AJ955" s="7"/>
      <c r="AK955" s="8"/>
      <c r="AL955" s="7"/>
      <c r="AM955" s="4"/>
      <c r="AN955" s="7"/>
      <c r="AO955" s="7"/>
      <c r="AP955" s="7"/>
      <c r="AQ955" s="4"/>
      <c r="AR955" s="7"/>
      <c r="AS955" s="4"/>
      <c r="AT955" s="7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</row>
    <row r="956" spans="1:63" ht="15.75" customHeight="1">
      <c r="A956" s="3"/>
      <c r="B956" s="3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6"/>
      <c r="AJ956" s="7"/>
      <c r="AK956" s="8"/>
      <c r="AL956" s="7"/>
      <c r="AM956" s="4"/>
      <c r="AN956" s="7"/>
      <c r="AO956" s="7"/>
      <c r="AP956" s="7"/>
      <c r="AQ956" s="4"/>
      <c r="AR956" s="7"/>
      <c r="AS956" s="4"/>
      <c r="AT956" s="7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</row>
    <row r="957" spans="1:63" ht="15.75" customHeight="1">
      <c r="A957" s="3"/>
      <c r="B957" s="3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6"/>
      <c r="AJ957" s="7"/>
      <c r="AK957" s="8"/>
      <c r="AL957" s="7"/>
      <c r="AM957" s="4"/>
      <c r="AN957" s="7"/>
      <c r="AO957" s="7"/>
      <c r="AP957" s="7"/>
      <c r="AQ957" s="4"/>
      <c r="AR957" s="7"/>
      <c r="AS957" s="4"/>
      <c r="AT957" s="7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</row>
    <row r="958" spans="1:63" ht="15.75" customHeight="1">
      <c r="A958" s="3"/>
      <c r="B958" s="3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6"/>
      <c r="AJ958" s="7"/>
      <c r="AK958" s="8"/>
      <c r="AL958" s="7"/>
      <c r="AM958" s="4"/>
      <c r="AN958" s="7"/>
      <c r="AO958" s="7"/>
      <c r="AP958" s="7"/>
      <c r="AQ958" s="4"/>
      <c r="AR958" s="7"/>
      <c r="AS958" s="4"/>
      <c r="AT958" s="7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</row>
    <row r="959" spans="1:63" ht="15.75" customHeight="1">
      <c r="A959" s="3"/>
      <c r="B959" s="3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6"/>
      <c r="AJ959" s="7"/>
      <c r="AK959" s="8"/>
      <c r="AL959" s="7"/>
      <c r="AM959" s="4"/>
      <c r="AN959" s="7"/>
      <c r="AO959" s="7"/>
      <c r="AP959" s="7"/>
      <c r="AQ959" s="4"/>
      <c r="AR959" s="7"/>
      <c r="AS959" s="4"/>
      <c r="AT959" s="7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</row>
    <row r="960" spans="1:63" ht="15.75" customHeight="1">
      <c r="A960" s="3"/>
      <c r="B960" s="3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6"/>
      <c r="AJ960" s="7"/>
      <c r="AK960" s="8"/>
      <c r="AL960" s="7"/>
      <c r="AM960" s="4"/>
      <c r="AN960" s="7"/>
      <c r="AO960" s="7"/>
      <c r="AP960" s="7"/>
      <c r="AQ960" s="4"/>
      <c r="AR960" s="7"/>
      <c r="AS960" s="4"/>
      <c r="AT960" s="7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</row>
    <row r="961" spans="1:63" ht="15.75" customHeight="1">
      <c r="A961" s="3"/>
      <c r="B961" s="3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6"/>
      <c r="AJ961" s="7"/>
      <c r="AK961" s="8"/>
      <c r="AL961" s="7"/>
      <c r="AM961" s="4"/>
      <c r="AN961" s="7"/>
      <c r="AO961" s="7"/>
      <c r="AP961" s="7"/>
      <c r="AQ961" s="4"/>
      <c r="AR961" s="7"/>
      <c r="AS961" s="4"/>
      <c r="AT961" s="7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</row>
    <row r="962" spans="1:63" ht="15.75" customHeight="1">
      <c r="A962" s="3"/>
      <c r="B962" s="3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6"/>
      <c r="AJ962" s="7"/>
      <c r="AK962" s="8"/>
      <c r="AL962" s="7"/>
      <c r="AM962" s="4"/>
      <c r="AN962" s="7"/>
      <c r="AO962" s="7"/>
      <c r="AP962" s="7"/>
      <c r="AQ962" s="4"/>
      <c r="AR962" s="7"/>
      <c r="AS962" s="4"/>
      <c r="AT962" s="7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</row>
    <row r="963" spans="1:63" ht="15.75" customHeight="1">
      <c r="A963" s="3"/>
      <c r="B963" s="3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6"/>
      <c r="AJ963" s="7"/>
      <c r="AK963" s="8"/>
      <c r="AL963" s="7"/>
      <c r="AM963" s="4"/>
      <c r="AN963" s="7"/>
      <c r="AO963" s="7"/>
      <c r="AP963" s="7"/>
      <c r="AQ963" s="4"/>
      <c r="AR963" s="7"/>
      <c r="AS963" s="4"/>
      <c r="AT963" s="7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</row>
    <row r="964" spans="1:63" ht="15.75" customHeight="1">
      <c r="A964" s="3"/>
      <c r="B964" s="3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6"/>
      <c r="AJ964" s="7"/>
      <c r="AK964" s="8"/>
      <c r="AL964" s="7"/>
      <c r="AM964" s="4"/>
      <c r="AN964" s="7"/>
      <c r="AO964" s="7"/>
      <c r="AP964" s="7"/>
      <c r="AQ964" s="4"/>
      <c r="AR964" s="7"/>
      <c r="AS964" s="4"/>
      <c r="AT964" s="7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</row>
    <row r="965" spans="1:63" ht="15.75" customHeight="1">
      <c r="A965" s="3"/>
      <c r="B965" s="3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6"/>
      <c r="AJ965" s="7"/>
      <c r="AK965" s="8"/>
      <c r="AL965" s="7"/>
      <c r="AM965" s="4"/>
      <c r="AN965" s="7"/>
      <c r="AO965" s="7"/>
      <c r="AP965" s="7"/>
      <c r="AQ965" s="4"/>
      <c r="AR965" s="7"/>
      <c r="AS965" s="4"/>
      <c r="AT965" s="7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</row>
    <row r="966" spans="1:63" ht="15.75" customHeight="1">
      <c r="A966" s="3"/>
      <c r="B966" s="3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6"/>
      <c r="AJ966" s="7"/>
      <c r="AK966" s="8"/>
      <c r="AL966" s="7"/>
      <c r="AM966" s="4"/>
      <c r="AN966" s="7"/>
      <c r="AO966" s="7"/>
      <c r="AP966" s="7"/>
      <c r="AQ966" s="4"/>
      <c r="AR966" s="7"/>
      <c r="AS966" s="4"/>
      <c r="AT966" s="7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</row>
    <row r="967" spans="1:63" ht="15.75" customHeight="1">
      <c r="A967" s="3"/>
      <c r="B967" s="3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6"/>
      <c r="AJ967" s="7"/>
      <c r="AK967" s="8"/>
      <c r="AL967" s="7"/>
      <c r="AM967" s="4"/>
      <c r="AN967" s="7"/>
      <c r="AO967" s="7"/>
      <c r="AP967" s="7"/>
      <c r="AQ967" s="4"/>
      <c r="AR967" s="7"/>
      <c r="AS967" s="4"/>
      <c r="AT967" s="7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</row>
    <row r="968" spans="1:63" ht="15.75" customHeight="1">
      <c r="A968" s="3"/>
      <c r="B968" s="3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6"/>
      <c r="AJ968" s="7"/>
      <c r="AK968" s="8"/>
      <c r="AL968" s="7"/>
      <c r="AM968" s="4"/>
      <c r="AN968" s="7"/>
      <c r="AO968" s="7"/>
      <c r="AP968" s="7"/>
      <c r="AQ968" s="4"/>
      <c r="AR968" s="7"/>
      <c r="AS968" s="4"/>
      <c r="AT968" s="7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</row>
    <row r="969" spans="1:63" ht="15.75" customHeight="1">
      <c r="A969" s="3"/>
      <c r="B969" s="3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6"/>
      <c r="AJ969" s="7"/>
      <c r="AK969" s="8"/>
      <c r="AL969" s="7"/>
      <c r="AM969" s="4"/>
      <c r="AN969" s="7"/>
      <c r="AO969" s="7"/>
      <c r="AP969" s="7"/>
      <c r="AQ969" s="4"/>
      <c r="AR969" s="7"/>
      <c r="AS969" s="4"/>
      <c r="AT969" s="7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</row>
    <row r="970" spans="1:63" ht="15.75" customHeight="1">
      <c r="A970" s="3"/>
      <c r="B970" s="3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6"/>
      <c r="AJ970" s="7"/>
      <c r="AK970" s="8"/>
      <c r="AL970" s="7"/>
      <c r="AM970" s="4"/>
      <c r="AN970" s="7"/>
      <c r="AO970" s="7"/>
      <c r="AP970" s="7"/>
      <c r="AQ970" s="4"/>
      <c r="AR970" s="7"/>
      <c r="AS970" s="4"/>
      <c r="AT970" s="7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</row>
    <row r="971" spans="1:63" ht="15.75" customHeight="1">
      <c r="A971" s="3"/>
      <c r="B971" s="3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6"/>
      <c r="AJ971" s="7"/>
      <c r="AK971" s="8"/>
      <c r="AL971" s="7"/>
      <c r="AM971" s="4"/>
      <c r="AN971" s="7"/>
      <c r="AO971" s="7"/>
      <c r="AP971" s="7"/>
      <c r="AQ971" s="4"/>
      <c r="AR971" s="7"/>
      <c r="AS971" s="4"/>
      <c r="AT971" s="7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</row>
    <row r="972" spans="1:63" ht="15.75" customHeight="1">
      <c r="A972" s="3"/>
      <c r="B972" s="3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6"/>
      <c r="AJ972" s="7"/>
      <c r="AK972" s="8"/>
      <c r="AL972" s="7"/>
      <c r="AM972" s="4"/>
      <c r="AN972" s="7"/>
      <c r="AO972" s="7"/>
      <c r="AP972" s="7"/>
      <c r="AQ972" s="4"/>
      <c r="AR972" s="7"/>
      <c r="AS972" s="4"/>
      <c r="AT972" s="7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</row>
    <row r="973" spans="1:63" ht="15.75" customHeight="1">
      <c r="A973" s="3"/>
      <c r="B973" s="3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6"/>
      <c r="AJ973" s="7"/>
      <c r="AK973" s="8"/>
      <c r="AL973" s="7"/>
      <c r="AM973" s="4"/>
      <c r="AN973" s="7"/>
      <c r="AO973" s="7"/>
      <c r="AP973" s="7"/>
      <c r="AQ973" s="4"/>
      <c r="AR973" s="7"/>
      <c r="AS973" s="4"/>
      <c r="AT973" s="7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</row>
    <row r="974" spans="1:63" ht="15.75" customHeight="1">
      <c r="A974" s="3"/>
      <c r="B974" s="3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6"/>
      <c r="AJ974" s="7"/>
      <c r="AK974" s="8"/>
      <c r="AL974" s="7"/>
      <c r="AM974" s="4"/>
      <c r="AN974" s="7"/>
      <c r="AO974" s="7"/>
      <c r="AP974" s="7"/>
      <c r="AQ974" s="4"/>
      <c r="AR974" s="7"/>
      <c r="AS974" s="4"/>
      <c r="AT974" s="7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</row>
    <row r="975" spans="1:63" ht="15.75" customHeight="1">
      <c r="A975" s="3"/>
      <c r="B975" s="3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6"/>
      <c r="AJ975" s="7"/>
      <c r="AK975" s="8"/>
      <c r="AL975" s="7"/>
      <c r="AM975" s="4"/>
      <c r="AN975" s="7"/>
      <c r="AO975" s="7"/>
      <c r="AP975" s="7"/>
      <c r="AQ975" s="4"/>
      <c r="AR975" s="7"/>
      <c r="AS975" s="4"/>
      <c r="AT975" s="7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</row>
    <row r="976" spans="1:63" ht="15.75" customHeight="1">
      <c r="A976" s="3"/>
      <c r="B976" s="3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6"/>
      <c r="AJ976" s="7"/>
      <c r="AK976" s="8"/>
      <c r="AL976" s="7"/>
      <c r="AM976" s="4"/>
      <c r="AN976" s="7"/>
      <c r="AO976" s="7"/>
      <c r="AP976" s="7"/>
      <c r="AQ976" s="4"/>
      <c r="AR976" s="7"/>
      <c r="AS976" s="4"/>
      <c r="AT976" s="7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</row>
    <row r="977" spans="1:63" ht="15.75" customHeight="1">
      <c r="A977" s="3"/>
      <c r="B977" s="3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6"/>
      <c r="AJ977" s="7"/>
      <c r="AK977" s="8"/>
      <c r="AL977" s="7"/>
      <c r="AM977" s="4"/>
      <c r="AN977" s="7"/>
      <c r="AO977" s="7"/>
      <c r="AP977" s="7"/>
      <c r="AQ977" s="4"/>
      <c r="AR977" s="7"/>
      <c r="AS977" s="4"/>
      <c r="AT977" s="7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</row>
    <row r="978" spans="1:63" ht="15.75" customHeight="1">
      <c r="A978" s="3"/>
      <c r="B978" s="3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6"/>
      <c r="AJ978" s="7"/>
      <c r="AK978" s="8"/>
      <c r="AL978" s="7"/>
      <c r="AM978" s="4"/>
      <c r="AN978" s="7"/>
      <c r="AO978" s="7"/>
      <c r="AP978" s="7"/>
      <c r="AQ978" s="4"/>
      <c r="AR978" s="7"/>
      <c r="AS978" s="4"/>
      <c r="AT978" s="7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</row>
    <row r="979" spans="1:63" ht="15.75" customHeight="1">
      <c r="A979" s="3"/>
      <c r="B979" s="3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6"/>
      <c r="AJ979" s="7"/>
      <c r="AK979" s="8"/>
      <c r="AL979" s="7"/>
      <c r="AM979" s="4"/>
      <c r="AN979" s="7"/>
      <c r="AO979" s="7"/>
      <c r="AP979" s="7"/>
      <c r="AQ979" s="4"/>
      <c r="AR979" s="7"/>
      <c r="AS979" s="4"/>
      <c r="AT979" s="7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</row>
    <row r="980" spans="1:63" ht="15.75" customHeight="1">
      <c r="A980" s="3"/>
      <c r="B980" s="3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6"/>
      <c r="AJ980" s="7"/>
      <c r="AK980" s="8"/>
      <c r="AL980" s="7"/>
      <c r="AM980" s="4"/>
      <c r="AN980" s="7"/>
      <c r="AO980" s="7"/>
      <c r="AP980" s="7"/>
      <c r="AQ980" s="4"/>
      <c r="AR980" s="7"/>
      <c r="AS980" s="4"/>
      <c r="AT980" s="7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</row>
    <row r="981" spans="1:63" ht="15.75" customHeight="1">
      <c r="A981" s="3"/>
      <c r="B981" s="3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6"/>
      <c r="AJ981" s="7"/>
      <c r="AK981" s="8"/>
      <c r="AL981" s="7"/>
      <c r="AM981" s="4"/>
      <c r="AN981" s="7"/>
      <c r="AO981" s="7"/>
      <c r="AP981" s="7"/>
      <c r="AQ981" s="4"/>
      <c r="AR981" s="7"/>
      <c r="AS981" s="4"/>
      <c r="AT981" s="7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</row>
    <row r="982" spans="1:63" ht="15.75" customHeight="1">
      <c r="A982" s="3"/>
      <c r="B982" s="3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6"/>
      <c r="AJ982" s="7"/>
      <c r="AK982" s="8"/>
      <c r="AL982" s="7"/>
      <c r="AM982" s="4"/>
      <c r="AN982" s="7"/>
      <c r="AO982" s="7"/>
      <c r="AP982" s="7"/>
      <c r="AQ982" s="4"/>
      <c r="AR982" s="7"/>
      <c r="AS982" s="4"/>
      <c r="AT982" s="7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</row>
    <row r="983" spans="1:63" ht="15.75" customHeight="1">
      <c r="A983" s="3"/>
      <c r="B983" s="3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6"/>
      <c r="AJ983" s="7"/>
      <c r="AK983" s="8"/>
      <c r="AL983" s="7"/>
      <c r="AM983" s="4"/>
      <c r="AN983" s="7"/>
      <c r="AO983" s="7"/>
      <c r="AP983" s="7"/>
      <c r="AQ983" s="4"/>
      <c r="AR983" s="7"/>
      <c r="AS983" s="4"/>
      <c r="AT983" s="7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</row>
    <row r="984" spans="1:63" ht="15.75" customHeight="1">
      <c r="A984" s="3"/>
      <c r="B984" s="3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6"/>
      <c r="AJ984" s="7"/>
      <c r="AK984" s="8"/>
      <c r="AL984" s="7"/>
      <c r="AM984" s="4"/>
      <c r="AN984" s="7"/>
      <c r="AO984" s="7"/>
      <c r="AP984" s="7"/>
      <c r="AQ984" s="4"/>
      <c r="AR984" s="7"/>
      <c r="AS984" s="4"/>
      <c r="AT984" s="7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</row>
    <row r="985" spans="1:63" ht="15.75" customHeight="1">
      <c r="A985" s="3"/>
      <c r="B985" s="3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6"/>
      <c r="AJ985" s="7"/>
      <c r="AK985" s="8"/>
      <c r="AL985" s="7"/>
      <c r="AM985" s="4"/>
      <c r="AN985" s="7"/>
      <c r="AO985" s="7"/>
      <c r="AP985" s="7"/>
      <c r="AQ985" s="4"/>
      <c r="AR985" s="7"/>
      <c r="AS985" s="4"/>
      <c r="AT985" s="7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</row>
    <row r="986" spans="1:63" ht="15.75" customHeight="1">
      <c r="A986" s="3"/>
      <c r="B986" s="3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6"/>
      <c r="AJ986" s="7"/>
      <c r="AK986" s="8"/>
      <c r="AL986" s="7"/>
      <c r="AM986" s="4"/>
      <c r="AN986" s="7"/>
      <c r="AO986" s="7"/>
      <c r="AP986" s="7"/>
      <c r="AQ986" s="4"/>
      <c r="AR986" s="7"/>
      <c r="AS986" s="4"/>
      <c r="AT986" s="7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</row>
    <row r="987" spans="1:63" ht="15.75" customHeight="1">
      <c r="A987" s="3"/>
      <c r="B987" s="3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6"/>
      <c r="AJ987" s="7"/>
      <c r="AK987" s="8"/>
      <c r="AL987" s="7"/>
      <c r="AM987" s="4"/>
      <c r="AN987" s="7"/>
      <c r="AO987" s="7"/>
      <c r="AP987" s="7"/>
      <c r="AQ987" s="4"/>
      <c r="AR987" s="7"/>
      <c r="AS987" s="4"/>
      <c r="AT987" s="7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</row>
    <row r="988" spans="1:63" ht="15.75" customHeight="1">
      <c r="A988" s="3"/>
      <c r="B988" s="3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6"/>
      <c r="AJ988" s="7"/>
      <c r="AK988" s="8"/>
      <c r="AL988" s="7"/>
      <c r="AM988" s="4"/>
      <c r="AN988" s="7"/>
      <c r="AO988" s="7"/>
      <c r="AP988" s="7"/>
      <c r="AQ988" s="4"/>
      <c r="AR988" s="7"/>
      <c r="AS988" s="4"/>
      <c r="AT988" s="7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</row>
    <row r="989" spans="1:63" ht="15.75" customHeight="1">
      <c r="A989" s="3"/>
      <c r="B989" s="3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6"/>
      <c r="AJ989" s="7"/>
      <c r="AK989" s="8"/>
      <c r="AL989" s="7"/>
      <c r="AM989" s="4"/>
      <c r="AN989" s="7"/>
      <c r="AO989" s="7"/>
      <c r="AP989" s="7"/>
      <c r="AQ989" s="4"/>
      <c r="AR989" s="7"/>
      <c r="AS989" s="4"/>
      <c r="AT989" s="7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</row>
    <row r="990" spans="1:63" ht="15.75" customHeight="1">
      <c r="A990" s="3"/>
      <c r="B990" s="3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6"/>
      <c r="AJ990" s="7"/>
      <c r="AK990" s="8"/>
      <c r="AL990" s="7"/>
      <c r="AM990" s="4"/>
      <c r="AN990" s="7"/>
      <c r="AO990" s="7"/>
      <c r="AP990" s="7"/>
      <c r="AQ990" s="4"/>
      <c r="AR990" s="7"/>
      <c r="AS990" s="4"/>
      <c r="AT990" s="7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</row>
    <row r="991" spans="1:63" ht="15.75" customHeight="1">
      <c r="A991" s="3"/>
      <c r="B991" s="3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6"/>
      <c r="AJ991" s="7"/>
      <c r="AK991" s="8"/>
      <c r="AL991" s="7"/>
      <c r="AM991" s="4"/>
      <c r="AN991" s="7"/>
      <c r="AO991" s="7"/>
      <c r="AP991" s="7"/>
      <c r="AQ991" s="4"/>
      <c r="AR991" s="7"/>
      <c r="AS991" s="4"/>
      <c r="AT991" s="7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</row>
    <row r="992" spans="1:63" ht="15.75" customHeight="1">
      <c r="A992" s="3"/>
      <c r="B992" s="3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6"/>
      <c r="AJ992" s="7"/>
      <c r="AK992" s="8"/>
      <c r="AL992" s="7"/>
      <c r="AM992" s="4"/>
      <c r="AN992" s="7"/>
      <c r="AO992" s="7"/>
      <c r="AP992" s="7"/>
      <c r="AQ992" s="4"/>
      <c r="AR992" s="7"/>
      <c r="AS992" s="4"/>
      <c r="AT992" s="7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</row>
    <row r="993" spans="1:63" ht="15.75" customHeight="1">
      <c r="A993" s="3"/>
      <c r="B993" s="3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6"/>
      <c r="AJ993" s="7"/>
      <c r="AK993" s="8"/>
      <c r="AL993" s="7"/>
      <c r="AM993" s="4"/>
      <c r="AN993" s="7"/>
      <c r="AO993" s="7"/>
      <c r="AP993" s="7"/>
      <c r="AQ993" s="4"/>
      <c r="AR993" s="7"/>
      <c r="AS993" s="4"/>
      <c r="AT993" s="7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</row>
    <row r="994" spans="1:63" ht="15.75" customHeight="1">
      <c r="A994" s="3"/>
      <c r="B994" s="3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6"/>
      <c r="AJ994" s="7"/>
      <c r="AK994" s="8"/>
      <c r="AL994" s="7"/>
      <c r="AM994" s="4"/>
      <c r="AN994" s="7"/>
      <c r="AO994" s="7"/>
      <c r="AP994" s="7"/>
      <c r="AQ994" s="4"/>
      <c r="AR994" s="7"/>
      <c r="AS994" s="4"/>
      <c r="AT994" s="7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</row>
    <row r="995" spans="1:63" ht="15.75" customHeight="1">
      <c r="A995" s="3"/>
      <c r="B995" s="3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6"/>
      <c r="AJ995" s="7"/>
      <c r="AK995" s="8"/>
      <c r="AL995" s="7"/>
      <c r="AM995" s="4"/>
      <c r="AN995" s="7"/>
      <c r="AO995" s="7"/>
      <c r="AP995" s="7"/>
      <c r="AQ995" s="4"/>
      <c r="AR995" s="7"/>
      <c r="AS995" s="4"/>
      <c r="AT995" s="7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</row>
    <row r="996" spans="1:63" ht="15.75" customHeight="1">
      <c r="A996" s="3"/>
      <c r="B996" s="3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6"/>
      <c r="AJ996" s="7"/>
      <c r="AK996" s="8"/>
      <c r="AL996" s="7"/>
      <c r="AM996" s="4"/>
      <c r="AN996" s="7"/>
      <c r="AO996" s="7"/>
      <c r="AP996" s="7"/>
      <c r="AQ996" s="4"/>
      <c r="AR996" s="7"/>
      <c r="AS996" s="4"/>
      <c r="AT996" s="7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</row>
    <row r="997" spans="1:63" ht="15.75" customHeight="1">
      <c r="A997" s="3"/>
      <c r="B997" s="3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6"/>
      <c r="AJ997" s="7"/>
      <c r="AK997" s="8"/>
      <c r="AL997" s="7"/>
      <c r="AM997" s="4"/>
      <c r="AN997" s="7"/>
      <c r="AO997" s="7"/>
      <c r="AP997" s="7"/>
      <c r="AQ997" s="4"/>
      <c r="AR997" s="7"/>
      <c r="AS997" s="4"/>
      <c r="AT997" s="7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</row>
    <row r="998" spans="1:63" ht="15.75" customHeight="1">
      <c r="A998" s="3"/>
      <c r="B998" s="3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6"/>
      <c r="AJ998" s="7"/>
      <c r="AK998" s="8"/>
      <c r="AL998" s="7"/>
      <c r="AM998" s="4"/>
      <c r="AN998" s="7"/>
      <c r="AO998" s="7"/>
      <c r="AP998" s="7"/>
      <c r="AQ998" s="4"/>
      <c r="AR998" s="7"/>
      <c r="AS998" s="4"/>
      <c r="AT998" s="7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</row>
    <row r="999" spans="1:63" ht="15.75" customHeight="1">
      <c r="A999" s="3"/>
      <c r="B999" s="3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6"/>
      <c r="AJ999" s="7"/>
      <c r="AK999" s="8"/>
      <c r="AL999" s="7"/>
      <c r="AM999" s="4"/>
      <c r="AN999" s="7"/>
      <c r="AO999" s="7"/>
      <c r="AP999" s="7"/>
      <c r="AQ999" s="4"/>
      <c r="AR999" s="7"/>
      <c r="AS999" s="4"/>
      <c r="AT999" s="7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</row>
    <row r="1000" spans="1:63" ht="15.75" customHeight="1">
      <c r="A1000" s="3"/>
      <c r="B1000" s="3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6"/>
      <c r="AJ1000" s="7"/>
      <c r="AK1000" s="8"/>
      <c r="AL1000" s="7"/>
      <c r="AM1000" s="4"/>
      <c r="AN1000" s="7"/>
      <c r="AO1000" s="7"/>
      <c r="AP1000" s="7"/>
      <c r="AQ1000" s="4"/>
      <c r="AR1000" s="7"/>
      <c r="AS1000" s="4"/>
      <c r="AT1000" s="7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</row>
  </sheetData>
  <autoFilter ref="A8:BK35"/>
  <mergeCells count="47">
    <mergeCell ref="A4:AU4"/>
    <mergeCell ref="A5:AU5"/>
    <mergeCell ref="E7:AI7"/>
    <mergeCell ref="AJ7:AV7"/>
    <mergeCell ref="AW7:BJ7"/>
    <mergeCell ref="C42:C54"/>
    <mergeCell ref="C55:C67"/>
    <mergeCell ref="I70:J70"/>
    <mergeCell ref="K70:L70"/>
    <mergeCell ref="M70:N70"/>
    <mergeCell ref="O70:P70"/>
    <mergeCell ref="K71:L71"/>
    <mergeCell ref="M71:N71"/>
    <mergeCell ref="O71:P71"/>
    <mergeCell ref="M73:N73"/>
    <mergeCell ref="O73:P73"/>
    <mergeCell ref="I71:J71"/>
    <mergeCell ref="I72:J72"/>
    <mergeCell ref="K72:L72"/>
    <mergeCell ref="M72:N72"/>
    <mergeCell ref="O72:P72"/>
    <mergeCell ref="I73:J73"/>
    <mergeCell ref="K73:L73"/>
    <mergeCell ref="I74:J74"/>
    <mergeCell ref="K74:L74"/>
    <mergeCell ref="M74:N74"/>
    <mergeCell ref="I79:J79"/>
    <mergeCell ref="K79:L79"/>
    <mergeCell ref="M79:N79"/>
    <mergeCell ref="O79:P79"/>
    <mergeCell ref="O74:P74"/>
    <mergeCell ref="K75:L75"/>
    <mergeCell ref="M75:N75"/>
    <mergeCell ref="O75:P75"/>
    <mergeCell ref="M77:N77"/>
    <mergeCell ref="O77:P77"/>
    <mergeCell ref="M76:N76"/>
    <mergeCell ref="O76:P76"/>
    <mergeCell ref="I78:J78"/>
    <mergeCell ref="K78:L78"/>
    <mergeCell ref="M78:N78"/>
    <mergeCell ref="O78:P78"/>
    <mergeCell ref="I77:J77"/>
    <mergeCell ref="K77:L77"/>
    <mergeCell ref="I75:J75"/>
    <mergeCell ref="I76:J76"/>
    <mergeCell ref="K76:L7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CHẤM CÔNG</vt:lpstr>
      <vt:lpstr>LƯƠNG</vt:lpstr>
      <vt:lpstr>DSNS</vt:lpstr>
      <vt:lpstr>Sheet1</vt:lpstr>
      <vt:lpstr>01.2025 can tru T12.2024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Ai Trang</dc:creator>
  <cp:lastModifiedBy>ASUS</cp:lastModifiedBy>
  <dcterms:created xsi:type="dcterms:W3CDTF">2024-12-25T14:29:39Z</dcterms:created>
  <dcterms:modified xsi:type="dcterms:W3CDTF">2026-08-06T09:55:54Z</dcterms:modified>
</cp:coreProperties>
</file>